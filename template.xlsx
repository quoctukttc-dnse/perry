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^ HANG\2. PERRY\2026\15 PEI036N01831VN0  SINGAPORE US\DOC\"/>
    </mc:Choice>
  </mc:AlternateContent>
  <xr:revisionPtr revIDLastSave="0" documentId="13_ncr:1_{DE17B478-E525-4986-AC04-F6FB1376CF51}" xr6:coauthVersionLast="47" xr6:coauthVersionMax="47" xr10:uidLastSave="{00000000-0000-0000-0000-000000000000}"/>
  <bookViews>
    <workbookView xWindow="-60" yWindow="-60" windowWidth="20610" windowHeight="11040" tabRatio="582" firstSheet="28" activeTab="30" xr2:uid="{00000000-000D-0000-FFFF-FFFF00000000}"/>
  </bookViews>
  <sheets>
    <sheet name="Kangatang" sheetId="32" state="veryHidden" r:id="rId1"/>
    <sheet name="packinglist" sheetId="1" state="hidden" r:id="rId2"/>
    <sheet name="INVOICE 94" sheetId="52" r:id="rId3"/>
    <sheet name="AJ916" sheetId="95" r:id="rId4"/>
    <sheet name="PLS AJ916" sheetId="94" r:id="rId5"/>
    <sheet name="SOLID PL DV10" sheetId="72" r:id="rId6"/>
    <sheet name="IRREGULAR SS PLDV10" sheetId="73" r:id="rId7"/>
    <sheet name="SOLID PL DV6" sheetId="84" r:id="rId8"/>
    <sheet name="IRREGULAR SS PL DV6" sheetId="85" r:id="rId9"/>
    <sheet name="SOLID PL DV7" sheetId="86" r:id="rId10"/>
    <sheet name="IRREGULAR SS PLDV7" sheetId="87" r:id="rId11"/>
    <sheet name="SOLID PL EQ349" sheetId="88" r:id="rId12"/>
    <sheet name="IRREGULAR SS PL EQ349" sheetId="89" r:id="rId13"/>
    <sheet name="SOLID PL EV154" sheetId="90" r:id="rId14"/>
    <sheet name="IRREGULAR SS PL EV154" sheetId="91" r:id="rId15"/>
    <sheet name="SOLID PL EV161" sheetId="92" r:id="rId16"/>
    <sheet name="IRREGULAR SS PL EV161" sheetId="93" r:id="rId17"/>
    <sheet name="FK245" sheetId="96" r:id="rId18"/>
    <sheet name="PLS FK245" sheetId="97" r:id="rId19"/>
    <sheet name="SOLID PL GU113" sheetId="98" r:id="rId20"/>
    <sheet name="IRREGULAR SS PL GU113" sheetId="101" r:id="rId21"/>
    <sheet name="SOLID PL GU117" sheetId="100" r:id="rId22"/>
    <sheet name="IRREGULAR SS PL GU117" sheetId="99" r:id="rId23"/>
    <sheet name="SZ514" sheetId="102" r:id="rId24"/>
    <sheet name="PLS SZ514" sheetId="103" r:id="rId25"/>
    <sheet name="SOLID PLWH88" sheetId="104" r:id="rId26"/>
    <sheet name="IRREGULAR SS PL WH88" sheetId="107" r:id="rId27"/>
    <sheet name="IRREGULAR SS PL WH96" sheetId="105" r:id="rId28"/>
    <sheet name="SOLID PL WH96" sheetId="106" r:id="rId29"/>
    <sheet name="IRREGULAR SS PL XL102" sheetId="108" r:id="rId30"/>
    <sheet name="SOLID PL XL102" sheetId="109" r:id="rId31"/>
    <sheet name="Sheet6" sheetId="51" state="hidden" r:id="rId32"/>
    <sheet name="Sheet1" sheetId="4" state="hidden" r:id="rId33"/>
  </sheets>
  <externalReferences>
    <externalReference r:id="rId34"/>
    <externalReference r:id="rId35"/>
    <externalReference r:id="rId36"/>
    <externalReference r:id="rId37"/>
    <externalReference r:id="rId38"/>
  </externalReferences>
  <definedNames>
    <definedName name="__Fieldmark__27_1863259733" localSheetId="2">'INVOICE 94'!#REF!</definedName>
    <definedName name="_Fill" localSheetId="4" hidden="1">#REF!</definedName>
    <definedName name="_Fill" localSheetId="18" hidden="1">#REF!</definedName>
    <definedName name="_Fill" localSheetId="24" hidden="1">#REF!</definedName>
    <definedName name="_Fill" hidden="1">#REF!</definedName>
    <definedName name="_xlnm._FilterDatabase" localSheetId="3" hidden="1">'AJ916'!$A$9:$M$24</definedName>
    <definedName name="_xlnm._FilterDatabase" localSheetId="17" hidden="1">'FK245'!$A$9:$M$19</definedName>
    <definedName name="_xlnm._FilterDatabase" localSheetId="2" hidden="1">'INVOICE 94'!$A$25:$P$82</definedName>
    <definedName name="_xlnm._FilterDatabase" localSheetId="8" hidden="1">'IRREGULAR SS PL DV6'!$A$18:$ID$18</definedName>
    <definedName name="_xlnm._FilterDatabase" localSheetId="12" hidden="1">'IRREGULAR SS PL EQ349'!$A$18:$ID$18</definedName>
    <definedName name="_xlnm._FilterDatabase" localSheetId="14" hidden="1">'IRREGULAR SS PL EV154'!$A$18:$ID$18</definedName>
    <definedName name="_xlnm._FilterDatabase" localSheetId="16" hidden="1">'IRREGULAR SS PL EV161'!$A$18:$ID$18</definedName>
    <definedName name="_xlnm._FilterDatabase" localSheetId="20" hidden="1">'IRREGULAR SS PL GU113'!$A$18:$ID$18</definedName>
    <definedName name="_xlnm._FilterDatabase" localSheetId="22" hidden="1">'IRREGULAR SS PL GU117'!$A$18:$ID$18</definedName>
    <definedName name="_xlnm._FilterDatabase" localSheetId="26" hidden="1">'IRREGULAR SS PL WH88'!$A$18:$ID$18</definedName>
    <definedName name="_xlnm._FilterDatabase" localSheetId="27" hidden="1">'IRREGULAR SS PL WH96'!$A$18:$V$56</definedName>
    <definedName name="_xlnm._FilterDatabase" localSheetId="29" hidden="1">'IRREGULAR SS PL XL102'!$A$18:$V$31</definedName>
    <definedName name="_xlnm._FilterDatabase" localSheetId="6" hidden="1">'IRREGULAR SS PLDV10'!$A$18:$ID$18</definedName>
    <definedName name="_xlnm._FilterDatabase" localSheetId="10" hidden="1">'IRREGULAR SS PLDV7'!$A$18:$ID$18</definedName>
    <definedName name="_xlnm._FilterDatabase" localSheetId="4" hidden="1">'PLS AJ916'!$A$6:$J$10</definedName>
    <definedName name="_xlnm._FilterDatabase" localSheetId="18" hidden="1">'PLS FK245'!$A$6:$J$10</definedName>
    <definedName name="_xlnm._FilterDatabase" localSheetId="24" hidden="1">'PLS SZ514'!$A$6:$J$15</definedName>
    <definedName name="_xlnm._FilterDatabase" localSheetId="5" hidden="1">'SOLID PL DV10'!$A$18:$IU$41</definedName>
    <definedName name="_xlnm._FilterDatabase" localSheetId="7" hidden="1">'SOLID PL DV6'!$A$18:$IU$41</definedName>
    <definedName name="_xlnm._FilterDatabase" localSheetId="9" hidden="1">'SOLID PL DV7'!$A$18:$IU$41</definedName>
    <definedName name="_xlnm._FilterDatabase" localSheetId="11" hidden="1">'SOLID PL EQ349'!$A$18:$IU$28</definedName>
    <definedName name="_xlnm._FilterDatabase" localSheetId="13" hidden="1">'SOLID PL EV154'!$A$18:$IT$67</definedName>
    <definedName name="_xlnm._FilterDatabase" localSheetId="15" hidden="1">'SOLID PL EV161'!$A$18:$IT$58</definedName>
    <definedName name="_xlnm._FilterDatabase" localSheetId="19" hidden="1">'SOLID PL GU113'!$A$18:$IT$28</definedName>
    <definedName name="_xlnm._FilterDatabase" localSheetId="21" hidden="1">'SOLID PL GU117'!$A$18:$IT$28</definedName>
    <definedName name="_xlnm._FilterDatabase" localSheetId="28" hidden="1">'SOLID PL WH96'!$A$18:$IT$62</definedName>
    <definedName name="_xlnm._FilterDatabase" localSheetId="30" hidden="1">'SOLID PL XL102'!$A$18:$IT$41</definedName>
    <definedName name="_xlnm._FilterDatabase" localSheetId="25" hidden="1">'SOLID PLWH88'!$A$18:$IT$62</definedName>
    <definedName name="_xlnm._FilterDatabase" localSheetId="23" hidden="1">'SZ514'!$A$9:$M$55</definedName>
    <definedName name="_xlnm.Print_Area" localSheetId="3">'AJ916'!$A$1:$O$25</definedName>
    <definedName name="_xlnm.Print_Area" localSheetId="17">'FK245'!$A$1:$O$20</definedName>
    <definedName name="_xlnm.Print_Area" localSheetId="2">'INVOICE 94'!$A$1:$M$97</definedName>
    <definedName name="_xlnm.Print_Area" localSheetId="8">'IRREGULAR SS PL DV6'!$A$1:$W$49</definedName>
    <definedName name="_xlnm.Print_Area" localSheetId="12">'IRREGULAR SS PL EQ349'!$A$1:$W$36</definedName>
    <definedName name="_xlnm.Print_Area" localSheetId="14">'IRREGULAR SS PL EV154'!$A$1:$V$80</definedName>
    <definedName name="_xlnm.Print_Area" localSheetId="16">'IRREGULAR SS PL EV161'!$A$1:$V$69</definedName>
    <definedName name="_xlnm.Print_Area" localSheetId="20">'IRREGULAR SS PL GU113'!$A$1:$V$35</definedName>
    <definedName name="_xlnm.Print_Area" localSheetId="22">'IRREGULAR SS PL GU117'!$A$1:$V$35</definedName>
    <definedName name="_xlnm.Print_Area" localSheetId="26">'IRREGULAR SS PL WH88'!$A$1:$V$74</definedName>
    <definedName name="_xlnm.Print_Area" localSheetId="27">'IRREGULAR SS PL WH96'!$A$1:$V$70</definedName>
    <definedName name="_xlnm.Print_Area" localSheetId="29">'IRREGULAR SS PL XL102'!$A$1:$V$42</definedName>
    <definedName name="_xlnm.Print_Area" localSheetId="6">'IRREGULAR SS PLDV10'!$A$1:$W$49</definedName>
    <definedName name="_xlnm.Print_Area" localSheetId="10">'IRREGULAR SS PLDV7'!$A$1:$W$49</definedName>
    <definedName name="_xlnm.Print_Area" localSheetId="1">packinglist!$A$1:$F$66</definedName>
    <definedName name="_xlnm.Print_Area" localSheetId="4">'PLS AJ916'!$A$1:$J$21</definedName>
    <definedName name="_xlnm.Print_Area" localSheetId="18">'PLS FK245'!$A$1:$J$21</definedName>
    <definedName name="_xlnm.Print_Area" localSheetId="24">'PLS SZ514'!$A$1:$J$26</definedName>
    <definedName name="_xlnm.Print_Area" localSheetId="5">'SOLID PL DV10'!$A$1:$W$47</definedName>
    <definedName name="_xlnm.Print_Area" localSheetId="7">'SOLID PL DV6'!$A$1:$W$47</definedName>
    <definedName name="_xlnm.Print_Area" localSheetId="9">'SOLID PL DV7'!$A$1:$W$47</definedName>
    <definedName name="_xlnm.Print_Area" localSheetId="11">'SOLID PL EQ349'!$A$1:$W$34</definedName>
    <definedName name="_xlnm.Print_Area" localSheetId="13">'SOLID PL EV154'!$A$1:$V$79</definedName>
    <definedName name="_xlnm.Print_Area" localSheetId="15">'SOLID PL EV161'!$A$1:$V$67</definedName>
    <definedName name="_xlnm.Print_Area" localSheetId="19">'SOLID PL GU113'!$A$1:$V$34</definedName>
    <definedName name="_xlnm.Print_Area" localSheetId="21">'SOLID PL GU117'!$A$1:$V$34</definedName>
    <definedName name="_xlnm.Print_Area" localSheetId="28">'SOLID PL WH96'!$A$1:$V$68</definedName>
    <definedName name="_xlnm.Print_Area" localSheetId="30">'SOLID PL XL102'!$A$1:$V$42</definedName>
    <definedName name="_xlnm.Print_Area" localSheetId="25">'SOLID PLWH88'!$A$1:$V$72</definedName>
    <definedName name="_xlnm.Print_Area" localSheetId="23">'SZ514'!$A$1:$O$56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" i="109" l="1"/>
  <c r="P39" i="109"/>
  <c r="W35" i="109"/>
  <c r="X35" i="109" s="1"/>
  <c r="U31" i="109"/>
  <c r="T31" i="109"/>
  <c r="Q31" i="109"/>
  <c r="P31" i="109"/>
  <c r="O31" i="109"/>
  <c r="N31" i="109"/>
  <c r="AB29" i="109"/>
  <c r="AA29" i="109"/>
  <c r="Z29" i="109"/>
  <c r="V29" i="109" s="1"/>
  <c r="AB28" i="109"/>
  <c r="AA28" i="109"/>
  <c r="V28" i="109" s="1"/>
  <c r="Z28" i="109"/>
  <c r="AB27" i="109"/>
  <c r="AA27" i="109"/>
  <c r="Z27" i="109"/>
  <c r="AB26" i="109"/>
  <c r="AA26" i="109"/>
  <c r="V26" i="109" s="1"/>
  <c r="Z26" i="109"/>
  <c r="S26" i="109"/>
  <c r="R26" i="109"/>
  <c r="AB25" i="109"/>
  <c r="AA25" i="109"/>
  <c r="Z25" i="109"/>
  <c r="V25" i="109" s="1"/>
  <c r="AB24" i="109"/>
  <c r="AA24" i="109"/>
  <c r="Z24" i="109"/>
  <c r="AB23" i="109"/>
  <c r="AA23" i="109"/>
  <c r="Z23" i="109"/>
  <c r="S23" i="109"/>
  <c r="R23" i="109"/>
  <c r="AB22" i="109"/>
  <c r="AA22" i="109"/>
  <c r="Z22" i="109"/>
  <c r="S22" i="109"/>
  <c r="R22" i="109"/>
  <c r="AB21" i="109"/>
  <c r="AA21" i="109"/>
  <c r="Z21" i="109"/>
  <c r="S21" i="109"/>
  <c r="R21" i="109"/>
  <c r="AB20" i="109"/>
  <c r="AA20" i="109"/>
  <c r="Z20" i="109"/>
  <c r="V20" i="109" s="1"/>
  <c r="S20" i="109"/>
  <c r="R20" i="109"/>
  <c r="C15" i="109"/>
  <c r="D14" i="109"/>
  <c r="D6" i="109"/>
  <c r="V25" i="108"/>
  <c r="V29" i="108"/>
  <c r="R21" i="108"/>
  <c r="S21" i="108"/>
  <c r="R22" i="108"/>
  <c r="S22" i="108"/>
  <c r="R23" i="108"/>
  <c r="S23" i="108"/>
  <c r="R26" i="108"/>
  <c r="S26" i="108"/>
  <c r="Q39" i="108"/>
  <c r="P39" i="108"/>
  <c r="W35" i="108"/>
  <c r="X35" i="108" s="1"/>
  <c r="U31" i="108"/>
  <c r="T31" i="108"/>
  <c r="Q31" i="108"/>
  <c r="P31" i="108"/>
  <c r="O31" i="108"/>
  <c r="N31" i="108"/>
  <c r="AB29" i="108"/>
  <c r="AA29" i="108"/>
  <c r="Z29" i="108"/>
  <c r="AB28" i="108"/>
  <c r="AA28" i="108"/>
  <c r="Z28" i="108"/>
  <c r="V28" i="108" s="1"/>
  <c r="AB27" i="108"/>
  <c r="AA27" i="108"/>
  <c r="Z27" i="108"/>
  <c r="V27" i="108" s="1"/>
  <c r="AB26" i="108"/>
  <c r="AA26" i="108"/>
  <c r="Z26" i="108"/>
  <c r="V26" i="108" s="1"/>
  <c r="AB25" i="108"/>
  <c r="AA25" i="108"/>
  <c r="Z25" i="108"/>
  <c r="AB24" i="108"/>
  <c r="AA24" i="108"/>
  <c r="Z24" i="108"/>
  <c r="AB23" i="108"/>
  <c r="AA23" i="108"/>
  <c r="Z23" i="108"/>
  <c r="V23" i="108" s="1"/>
  <c r="AB22" i="108"/>
  <c r="AA22" i="108"/>
  <c r="Z22" i="108"/>
  <c r="V22" i="108" s="1"/>
  <c r="AB21" i="108"/>
  <c r="AA21" i="108"/>
  <c r="Z21" i="108"/>
  <c r="V21" i="108" s="1"/>
  <c r="AB20" i="108"/>
  <c r="AA20" i="108"/>
  <c r="Z20" i="108"/>
  <c r="S20" i="108"/>
  <c r="R20" i="108"/>
  <c r="C15" i="108"/>
  <c r="D14" i="108"/>
  <c r="D6" i="108"/>
  <c r="Q67" i="106"/>
  <c r="P67" i="106"/>
  <c r="W60" i="106"/>
  <c r="X60" i="106" s="1"/>
  <c r="U56" i="106"/>
  <c r="T56" i="106"/>
  <c r="Q56" i="106"/>
  <c r="P56" i="106"/>
  <c r="O56" i="106"/>
  <c r="N56" i="106"/>
  <c r="AB54" i="106"/>
  <c r="AA54" i="106"/>
  <c r="Z54" i="106"/>
  <c r="V54" i="106" s="1"/>
  <c r="AB53" i="106"/>
  <c r="AA53" i="106"/>
  <c r="V53" i="106" s="1"/>
  <c r="Z53" i="106"/>
  <c r="AB52" i="106"/>
  <c r="AA52" i="106"/>
  <c r="V52" i="106" s="1"/>
  <c r="Z52" i="106"/>
  <c r="AB51" i="106"/>
  <c r="AA51" i="106"/>
  <c r="V51" i="106" s="1"/>
  <c r="Z51" i="106"/>
  <c r="S51" i="106"/>
  <c r="R51" i="106"/>
  <c r="AB50" i="106"/>
  <c r="AA50" i="106"/>
  <c r="Z50" i="106"/>
  <c r="AB49" i="106"/>
  <c r="AA49" i="106"/>
  <c r="Z49" i="106"/>
  <c r="AB48" i="106"/>
  <c r="AA48" i="106"/>
  <c r="V48" i="106" s="1"/>
  <c r="Z48" i="106"/>
  <c r="AB47" i="106"/>
  <c r="AA47" i="106"/>
  <c r="V47" i="106" s="1"/>
  <c r="Z47" i="106"/>
  <c r="AB46" i="106"/>
  <c r="AA46" i="106"/>
  <c r="V46" i="106" s="1"/>
  <c r="Z46" i="106"/>
  <c r="AB45" i="106"/>
  <c r="AA45" i="106"/>
  <c r="V45" i="106" s="1"/>
  <c r="Z45" i="106"/>
  <c r="S45" i="106"/>
  <c r="R45" i="106"/>
  <c r="AB44" i="106"/>
  <c r="AA44" i="106"/>
  <c r="Z44" i="106"/>
  <c r="AB43" i="106"/>
  <c r="AA43" i="106"/>
  <c r="Z43" i="106"/>
  <c r="AB42" i="106"/>
  <c r="AA42" i="106"/>
  <c r="V42" i="106" s="1"/>
  <c r="Z42" i="106"/>
  <c r="AB41" i="106"/>
  <c r="AA41" i="106"/>
  <c r="V41" i="106" s="1"/>
  <c r="Z41" i="106"/>
  <c r="S41" i="106"/>
  <c r="R41" i="106"/>
  <c r="AB40" i="106"/>
  <c r="AA40" i="106"/>
  <c r="Z40" i="106"/>
  <c r="AB39" i="106"/>
  <c r="AA39" i="106"/>
  <c r="Z39" i="106"/>
  <c r="V39" i="106" s="1"/>
  <c r="S39" i="106"/>
  <c r="R39" i="106"/>
  <c r="AB38" i="106"/>
  <c r="AA38" i="106"/>
  <c r="Z38" i="106"/>
  <c r="V38" i="106" s="1"/>
  <c r="S38" i="106"/>
  <c r="R38" i="106"/>
  <c r="AB37" i="106"/>
  <c r="AA37" i="106"/>
  <c r="Z37" i="106"/>
  <c r="V37" i="106" s="1"/>
  <c r="S37" i="106"/>
  <c r="R37" i="106"/>
  <c r="AB36" i="106"/>
  <c r="AA36" i="106"/>
  <c r="Z36" i="106"/>
  <c r="V36" i="106" s="1"/>
  <c r="S36" i="106"/>
  <c r="R36" i="106"/>
  <c r="AB35" i="106"/>
  <c r="AA35" i="106"/>
  <c r="Z35" i="106"/>
  <c r="AB34" i="106"/>
  <c r="AA34" i="106"/>
  <c r="V34" i="106" s="1"/>
  <c r="Z34" i="106"/>
  <c r="AB33" i="106"/>
  <c r="AA33" i="106"/>
  <c r="V33" i="106" s="1"/>
  <c r="Z33" i="106"/>
  <c r="S33" i="106"/>
  <c r="R33" i="106"/>
  <c r="AB32" i="106"/>
  <c r="AA32" i="106"/>
  <c r="Z32" i="106"/>
  <c r="AB31" i="106"/>
  <c r="AA31" i="106"/>
  <c r="Z31" i="106"/>
  <c r="V31" i="106" s="1"/>
  <c r="S31" i="106"/>
  <c r="R31" i="106"/>
  <c r="AB30" i="106"/>
  <c r="AA30" i="106"/>
  <c r="Z30" i="106"/>
  <c r="V30" i="106" s="1"/>
  <c r="S30" i="106"/>
  <c r="R30" i="106"/>
  <c r="AB29" i="106"/>
  <c r="AA29" i="106"/>
  <c r="Z29" i="106"/>
  <c r="V29" i="106" s="1"/>
  <c r="S29" i="106"/>
  <c r="R29" i="106"/>
  <c r="AB28" i="106"/>
  <c r="AA28" i="106"/>
  <c r="Z28" i="106"/>
  <c r="V28" i="106" s="1"/>
  <c r="S28" i="106"/>
  <c r="R28" i="106"/>
  <c r="AB27" i="106"/>
  <c r="AA27" i="106"/>
  <c r="Z27" i="106"/>
  <c r="AB26" i="106"/>
  <c r="AA26" i="106"/>
  <c r="V26" i="106" s="1"/>
  <c r="Z26" i="106"/>
  <c r="AB25" i="106"/>
  <c r="AA25" i="106"/>
  <c r="V25" i="106" s="1"/>
  <c r="Z25" i="106"/>
  <c r="S25" i="106"/>
  <c r="R25" i="106"/>
  <c r="AB24" i="106"/>
  <c r="AA24" i="106"/>
  <c r="Z24" i="106"/>
  <c r="AB23" i="106"/>
  <c r="AA23" i="106"/>
  <c r="Z23" i="106"/>
  <c r="V23" i="106" s="1"/>
  <c r="S23" i="106"/>
  <c r="R23" i="106"/>
  <c r="AB22" i="106"/>
  <c r="AA22" i="106"/>
  <c r="Z22" i="106"/>
  <c r="V22" i="106" s="1"/>
  <c r="S22" i="106"/>
  <c r="R22" i="106"/>
  <c r="AB21" i="106"/>
  <c r="AA21" i="106"/>
  <c r="Z21" i="106"/>
  <c r="V21" i="106" s="1"/>
  <c r="S21" i="106"/>
  <c r="R21" i="106"/>
  <c r="AB20" i="106"/>
  <c r="AA20" i="106"/>
  <c r="Z20" i="106"/>
  <c r="V20" i="106" s="1"/>
  <c r="S20" i="106"/>
  <c r="R20" i="106"/>
  <c r="C15" i="106"/>
  <c r="D14" i="106"/>
  <c r="D6" i="106"/>
  <c r="R21" i="105"/>
  <c r="S21" i="105"/>
  <c r="R22" i="105"/>
  <c r="S22" i="105"/>
  <c r="R23" i="105"/>
  <c r="S23" i="105"/>
  <c r="R25" i="105"/>
  <c r="S25" i="105"/>
  <c r="R28" i="105"/>
  <c r="S28" i="105"/>
  <c r="R29" i="105"/>
  <c r="S29" i="105"/>
  <c r="R30" i="105"/>
  <c r="S30" i="105"/>
  <c r="R31" i="105"/>
  <c r="S31" i="105"/>
  <c r="R33" i="105"/>
  <c r="S33" i="105"/>
  <c r="R36" i="105"/>
  <c r="S36" i="105"/>
  <c r="R37" i="105"/>
  <c r="S37" i="105"/>
  <c r="R38" i="105"/>
  <c r="S38" i="105"/>
  <c r="R39" i="105"/>
  <c r="S39" i="105"/>
  <c r="R41" i="105"/>
  <c r="S41" i="105"/>
  <c r="R45" i="105"/>
  <c r="S45" i="105"/>
  <c r="R51" i="105"/>
  <c r="S51" i="105"/>
  <c r="Q71" i="107"/>
  <c r="P71" i="107"/>
  <c r="W64" i="107"/>
  <c r="X64" i="107" s="1"/>
  <c r="U60" i="107"/>
  <c r="T60" i="107"/>
  <c r="Q60" i="107"/>
  <c r="P60" i="107"/>
  <c r="O60" i="107"/>
  <c r="N60" i="107"/>
  <c r="AB57" i="107"/>
  <c r="AA57" i="107"/>
  <c r="Z57" i="107"/>
  <c r="V57" i="107" s="1"/>
  <c r="AB56" i="107"/>
  <c r="AA56" i="107"/>
  <c r="V56" i="107" s="1"/>
  <c r="Z56" i="107"/>
  <c r="S56" i="107"/>
  <c r="R56" i="107"/>
  <c r="AB55" i="107"/>
  <c r="AA55" i="107"/>
  <c r="Z55" i="107"/>
  <c r="AB54" i="107"/>
  <c r="V54" i="107" s="1"/>
  <c r="AA54" i="107"/>
  <c r="Z54" i="107"/>
  <c r="AB53" i="107"/>
  <c r="V53" i="107" s="1"/>
  <c r="AA53" i="107"/>
  <c r="Z53" i="107"/>
  <c r="AB52" i="107"/>
  <c r="V52" i="107" s="1"/>
  <c r="AA52" i="107"/>
  <c r="Z52" i="107"/>
  <c r="S52" i="107"/>
  <c r="R52" i="107"/>
  <c r="AB51" i="107"/>
  <c r="AA51" i="107"/>
  <c r="Z51" i="107"/>
  <c r="AB50" i="107"/>
  <c r="AA50" i="107"/>
  <c r="Z50" i="107"/>
  <c r="AB49" i="107"/>
  <c r="V49" i="107" s="1"/>
  <c r="AA49" i="107"/>
  <c r="Z49" i="107"/>
  <c r="AB48" i="107"/>
  <c r="V48" i="107" s="1"/>
  <c r="AA48" i="107"/>
  <c r="Z48" i="107"/>
  <c r="S48" i="107"/>
  <c r="R48" i="107"/>
  <c r="AB47" i="107"/>
  <c r="AA47" i="107"/>
  <c r="Z47" i="107"/>
  <c r="AB46" i="107"/>
  <c r="AA46" i="107"/>
  <c r="Z46" i="107"/>
  <c r="V46" i="107"/>
  <c r="AB45" i="107"/>
  <c r="AA45" i="107"/>
  <c r="Z45" i="107"/>
  <c r="V45" i="107"/>
  <c r="AB44" i="107"/>
  <c r="AA44" i="107"/>
  <c r="Z44" i="107"/>
  <c r="V44" i="107"/>
  <c r="S44" i="107"/>
  <c r="R44" i="107"/>
  <c r="AB43" i="107"/>
  <c r="AA43" i="107"/>
  <c r="Z43" i="107"/>
  <c r="AB42" i="107"/>
  <c r="AA42" i="107"/>
  <c r="Z42" i="107"/>
  <c r="AB41" i="107"/>
  <c r="AA41" i="107"/>
  <c r="Z41" i="107"/>
  <c r="V41" i="107"/>
  <c r="AB40" i="107"/>
  <c r="AA40" i="107"/>
  <c r="Z40" i="107"/>
  <c r="V40" i="107"/>
  <c r="S40" i="107"/>
  <c r="R40" i="107"/>
  <c r="AB39" i="107"/>
  <c r="AA39" i="107"/>
  <c r="Z39" i="107"/>
  <c r="AB38" i="107"/>
  <c r="AA38" i="107"/>
  <c r="Z38" i="107"/>
  <c r="V38" i="107" s="1"/>
  <c r="AB37" i="107"/>
  <c r="AA37" i="107"/>
  <c r="Z37" i="107"/>
  <c r="V37" i="107" s="1"/>
  <c r="AB36" i="107"/>
  <c r="AA36" i="107"/>
  <c r="Z36" i="107"/>
  <c r="V36" i="107" s="1"/>
  <c r="S36" i="107"/>
  <c r="R36" i="107"/>
  <c r="AB35" i="107"/>
  <c r="AA35" i="107"/>
  <c r="Z35" i="107"/>
  <c r="AB34" i="107"/>
  <c r="AA34" i="107"/>
  <c r="Z34" i="107"/>
  <c r="AB33" i="107"/>
  <c r="AA33" i="107"/>
  <c r="Z33" i="107"/>
  <c r="V33" i="107" s="1"/>
  <c r="AB32" i="107"/>
  <c r="AA32" i="107"/>
  <c r="Z32" i="107"/>
  <c r="V32" i="107" s="1"/>
  <c r="S32" i="107"/>
  <c r="R32" i="107"/>
  <c r="AB31" i="107"/>
  <c r="AA31" i="107"/>
  <c r="Z31" i="107"/>
  <c r="AB30" i="107"/>
  <c r="AA30" i="107"/>
  <c r="Z30" i="107"/>
  <c r="V30" i="107" s="1"/>
  <c r="AB29" i="107"/>
  <c r="AA29" i="107"/>
  <c r="Z29" i="107"/>
  <c r="V29" i="107" s="1"/>
  <c r="AB28" i="107"/>
  <c r="AA28" i="107"/>
  <c r="Z28" i="107"/>
  <c r="V28" i="107" s="1"/>
  <c r="S28" i="107"/>
  <c r="R28" i="107"/>
  <c r="AB27" i="107"/>
  <c r="AA27" i="107"/>
  <c r="Z27" i="107"/>
  <c r="AB26" i="107"/>
  <c r="AA26" i="107"/>
  <c r="Z26" i="107"/>
  <c r="AB25" i="107"/>
  <c r="AA25" i="107"/>
  <c r="Z25" i="107"/>
  <c r="V25" i="107" s="1"/>
  <c r="AB24" i="107"/>
  <c r="AA24" i="107"/>
  <c r="Z24" i="107"/>
  <c r="V24" i="107" s="1"/>
  <c r="S24" i="107"/>
  <c r="R24" i="107"/>
  <c r="AB23" i="107"/>
  <c r="AA23" i="107"/>
  <c r="Z23" i="107"/>
  <c r="AB22" i="107"/>
  <c r="V22" i="107" s="1"/>
  <c r="AA22" i="107"/>
  <c r="Z22" i="107"/>
  <c r="AB21" i="107"/>
  <c r="V21" i="107" s="1"/>
  <c r="AA21" i="107"/>
  <c r="Z21" i="107"/>
  <c r="AB20" i="107"/>
  <c r="V20" i="107" s="1"/>
  <c r="AA20" i="107"/>
  <c r="Z20" i="107"/>
  <c r="S20" i="107"/>
  <c r="R20" i="107"/>
  <c r="AB19" i="107"/>
  <c r="AA19" i="107"/>
  <c r="Z19" i="107"/>
  <c r="C15" i="107"/>
  <c r="D14" i="107"/>
  <c r="D6" i="107"/>
  <c r="Q67" i="105"/>
  <c r="P67" i="105"/>
  <c r="W60" i="105"/>
  <c r="X60" i="105" s="1"/>
  <c r="U56" i="105"/>
  <c r="T56" i="105"/>
  <c r="Q56" i="105"/>
  <c r="P56" i="105"/>
  <c r="O56" i="105"/>
  <c r="N56" i="105"/>
  <c r="AB54" i="105"/>
  <c r="AA54" i="105"/>
  <c r="Z54" i="105"/>
  <c r="AB53" i="105"/>
  <c r="AA53" i="105"/>
  <c r="Z53" i="105"/>
  <c r="AB52" i="105"/>
  <c r="AA52" i="105"/>
  <c r="Z52" i="105"/>
  <c r="AB51" i="105"/>
  <c r="AA51" i="105"/>
  <c r="Z51" i="105"/>
  <c r="AB50" i="105"/>
  <c r="AA50" i="105"/>
  <c r="Z50" i="105"/>
  <c r="AB49" i="105"/>
  <c r="AA49" i="105"/>
  <c r="Z49" i="105"/>
  <c r="AB48" i="105"/>
  <c r="AA48" i="105"/>
  <c r="Z48" i="105"/>
  <c r="AB47" i="105"/>
  <c r="AA47" i="105"/>
  <c r="Z47" i="105"/>
  <c r="AB46" i="105"/>
  <c r="AA46" i="105"/>
  <c r="Z46" i="105"/>
  <c r="AB45" i="105"/>
  <c r="AA45" i="105"/>
  <c r="Z45" i="105"/>
  <c r="AB44" i="105"/>
  <c r="AA44" i="105"/>
  <c r="Z44" i="105"/>
  <c r="AB43" i="105"/>
  <c r="AA43" i="105"/>
  <c r="Z43" i="105"/>
  <c r="AB42" i="105"/>
  <c r="AA42" i="105"/>
  <c r="Z42" i="105"/>
  <c r="AB41" i="105"/>
  <c r="AA41" i="105"/>
  <c r="Z41" i="105"/>
  <c r="AB40" i="105"/>
  <c r="AA40" i="105"/>
  <c r="Z40" i="105"/>
  <c r="AB39" i="105"/>
  <c r="AA39" i="105"/>
  <c r="Z39" i="105"/>
  <c r="AB38" i="105"/>
  <c r="AA38" i="105"/>
  <c r="Z38" i="105"/>
  <c r="AB37" i="105"/>
  <c r="AA37" i="105"/>
  <c r="Z37" i="105"/>
  <c r="AB36" i="105"/>
  <c r="AA36" i="105"/>
  <c r="Z36" i="105"/>
  <c r="AB35" i="105"/>
  <c r="AA35" i="105"/>
  <c r="Z35" i="105"/>
  <c r="AB34" i="105"/>
  <c r="AA34" i="105"/>
  <c r="Z34" i="105"/>
  <c r="AB33" i="105"/>
  <c r="AA33" i="105"/>
  <c r="Z33" i="105"/>
  <c r="AB32" i="105"/>
  <c r="AA32" i="105"/>
  <c r="Z32" i="105"/>
  <c r="AB31" i="105"/>
  <c r="AA31" i="105"/>
  <c r="Z31" i="105"/>
  <c r="AB30" i="105"/>
  <c r="AA30" i="105"/>
  <c r="Z30" i="105"/>
  <c r="AB29" i="105"/>
  <c r="AA29" i="105"/>
  <c r="Z29" i="105"/>
  <c r="AB28" i="105"/>
  <c r="AA28" i="105"/>
  <c r="Z28" i="105"/>
  <c r="AB27" i="105"/>
  <c r="AA27" i="105"/>
  <c r="Z27" i="105"/>
  <c r="AB26" i="105"/>
  <c r="AA26" i="105"/>
  <c r="Z26" i="105"/>
  <c r="AB25" i="105"/>
  <c r="AA25" i="105"/>
  <c r="Z25" i="105"/>
  <c r="AB24" i="105"/>
  <c r="AA24" i="105"/>
  <c r="Z24" i="105"/>
  <c r="AB23" i="105"/>
  <c r="AA23" i="105"/>
  <c r="Z23" i="105"/>
  <c r="AB22" i="105"/>
  <c r="AA22" i="105"/>
  <c r="Z22" i="105"/>
  <c r="AB21" i="105"/>
  <c r="AA21" i="105"/>
  <c r="Z21" i="105"/>
  <c r="AB20" i="105"/>
  <c r="AA20" i="105"/>
  <c r="Z20" i="105"/>
  <c r="S20" i="105"/>
  <c r="R20" i="105"/>
  <c r="C15" i="105"/>
  <c r="D14" i="105"/>
  <c r="D6" i="105"/>
  <c r="R24" i="104"/>
  <c r="S24" i="104"/>
  <c r="R28" i="104"/>
  <c r="S28" i="104"/>
  <c r="R32" i="104"/>
  <c r="S32" i="104"/>
  <c r="R36" i="104"/>
  <c r="S36" i="104"/>
  <c r="R40" i="104"/>
  <c r="S40" i="104"/>
  <c r="R44" i="104"/>
  <c r="S44" i="104"/>
  <c r="R48" i="104"/>
  <c r="S48" i="104"/>
  <c r="R52" i="104"/>
  <c r="S52" i="104"/>
  <c r="R56" i="104"/>
  <c r="S56" i="104"/>
  <c r="Z22" i="104"/>
  <c r="AA22" i="104"/>
  <c r="AB22" i="104"/>
  <c r="Z23" i="104"/>
  <c r="AA23" i="104"/>
  <c r="AB23" i="104"/>
  <c r="Z24" i="104"/>
  <c r="AA24" i="104"/>
  <c r="AB24" i="104"/>
  <c r="Z25" i="104"/>
  <c r="AA25" i="104"/>
  <c r="AB25" i="104"/>
  <c r="Z26" i="104"/>
  <c r="AA26" i="104"/>
  <c r="AB26" i="104"/>
  <c r="Z27" i="104"/>
  <c r="AA27" i="104"/>
  <c r="AB27" i="104"/>
  <c r="Z28" i="104"/>
  <c r="AA28" i="104"/>
  <c r="AB28" i="104"/>
  <c r="Z29" i="104"/>
  <c r="AA29" i="104"/>
  <c r="AB29" i="104"/>
  <c r="Z30" i="104"/>
  <c r="AA30" i="104"/>
  <c r="AB30" i="104"/>
  <c r="Z31" i="104"/>
  <c r="AA31" i="104"/>
  <c r="AB31" i="104"/>
  <c r="Z32" i="104"/>
  <c r="AA32" i="104"/>
  <c r="AB32" i="104"/>
  <c r="Z33" i="104"/>
  <c r="AA33" i="104"/>
  <c r="AB33" i="104"/>
  <c r="Z34" i="104"/>
  <c r="AA34" i="104"/>
  <c r="AB34" i="104"/>
  <c r="Z35" i="104"/>
  <c r="AA35" i="104"/>
  <c r="AB35" i="104"/>
  <c r="Z36" i="104"/>
  <c r="AA36" i="104"/>
  <c r="AB36" i="104"/>
  <c r="Z37" i="104"/>
  <c r="AA37" i="104"/>
  <c r="AB37" i="104"/>
  <c r="Z38" i="104"/>
  <c r="AA38" i="104"/>
  <c r="AB38" i="104"/>
  <c r="Z39" i="104"/>
  <c r="AA39" i="104"/>
  <c r="AB39" i="104"/>
  <c r="Z40" i="104"/>
  <c r="AA40" i="104"/>
  <c r="AB40" i="104"/>
  <c r="Z41" i="104"/>
  <c r="AA41" i="104"/>
  <c r="AB41" i="104"/>
  <c r="Z42" i="104"/>
  <c r="AA42" i="104"/>
  <c r="AB42" i="104"/>
  <c r="Z43" i="104"/>
  <c r="AA43" i="104"/>
  <c r="AB43" i="104"/>
  <c r="Z44" i="104"/>
  <c r="AA44" i="104"/>
  <c r="AB44" i="104"/>
  <c r="Z45" i="104"/>
  <c r="AA45" i="104"/>
  <c r="AB45" i="104"/>
  <c r="Z46" i="104"/>
  <c r="AA46" i="104"/>
  <c r="AB46" i="104"/>
  <c r="Z47" i="104"/>
  <c r="AA47" i="104"/>
  <c r="AB47" i="104"/>
  <c r="Z48" i="104"/>
  <c r="AA48" i="104"/>
  <c r="AB48" i="104"/>
  <c r="Z49" i="104"/>
  <c r="AA49" i="104"/>
  <c r="AB49" i="104"/>
  <c r="Z50" i="104"/>
  <c r="AA50" i="104"/>
  <c r="AB50" i="104"/>
  <c r="Z51" i="104"/>
  <c r="AA51" i="104"/>
  <c r="AB51" i="104"/>
  <c r="Z52" i="104"/>
  <c r="AA52" i="104"/>
  <c r="AB52" i="104"/>
  <c r="Z53" i="104"/>
  <c r="AA53" i="104"/>
  <c r="AB53" i="104"/>
  <c r="Z54" i="104"/>
  <c r="AA54" i="104"/>
  <c r="AB54" i="104"/>
  <c r="Z55" i="104"/>
  <c r="AA55" i="104"/>
  <c r="AB55" i="104"/>
  <c r="Z56" i="104"/>
  <c r="AA56" i="104"/>
  <c r="AB56" i="104"/>
  <c r="Z57" i="104"/>
  <c r="AA57" i="104"/>
  <c r="AB57" i="104"/>
  <c r="Z20" i="104"/>
  <c r="AA20" i="104"/>
  <c r="AB20" i="104"/>
  <c r="Z21" i="104"/>
  <c r="AA21" i="104"/>
  <c r="AB21" i="104"/>
  <c r="Q71" i="104"/>
  <c r="P71" i="104"/>
  <c r="W64" i="104"/>
  <c r="X64" i="104" s="1"/>
  <c r="U60" i="104"/>
  <c r="T60" i="104"/>
  <c r="Q60" i="104"/>
  <c r="P60" i="104"/>
  <c r="O60" i="104"/>
  <c r="N60" i="104"/>
  <c r="S20" i="104"/>
  <c r="R20" i="104"/>
  <c r="AB19" i="104"/>
  <c r="AA19" i="104"/>
  <c r="Z19" i="104"/>
  <c r="C15" i="104"/>
  <c r="D14" i="104"/>
  <c r="D6" i="104"/>
  <c r="K8" i="103"/>
  <c r="L8" i="103" s="1"/>
  <c r="K9" i="103"/>
  <c r="L9" i="103" s="1"/>
  <c r="K10" i="103"/>
  <c r="L10" i="103" s="1"/>
  <c r="K11" i="103"/>
  <c r="L11" i="103" s="1"/>
  <c r="K12" i="103"/>
  <c r="L12" i="103" s="1"/>
  <c r="K13" i="103"/>
  <c r="L13" i="103" s="1"/>
  <c r="M55" i="102"/>
  <c r="N55" i="102"/>
  <c r="L55" i="102"/>
  <c r="S11" i="102"/>
  <c r="T11" i="102"/>
  <c r="U11" i="102"/>
  <c r="S12" i="102"/>
  <c r="T12" i="102"/>
  <c r="U12" i="102"/>
  <c r="S13" i="102"/>
  <c r="T13" i="102"/>
  <c r="U13" i="102"/>
  <c r="S14" i="102"/>
  <c r="T14" i="102"/>
  <c r="U14" i="102"/>
  <c r="S15" i="102"/>
  <c r="T15" i="102"/>
  <c r="U15" i="102"/>
  <c r="S16" i="102"/>
  <c r="T16" i="102"/>
  <c r="U16" i="102"/>
  <c r="S17" i="102"/>
  <c r="T17" i="102"/>
  <c r="U17" i="102"/>
  <c r="S18" i="102"/>
  <c r="T18" i="102"/>
  <c r="U18" i="102"/>
  <c r="S19" i="102"/>
  <c r="T19" i="102"/>
  <c r="U19" i="102"/>
  <c r="S20" i="102"/>
  <c r="T20" i="102"/>
  <c r="U20" i="102"/>
  <c r="S21" i="102"/>
  <c r="T21" i="102"/>
  <c r="U21" i="102"/>
  <c r="S22" i="102"/>
  <c r="T22" i="102"/>
  <c r="U22" i="102"/>
  <c r="S23" i="102"/>
  <c r="T23" i="102"/>
  <c r="U23" i="102"/>
  <c r="S24" i="102"/>
  <c r="T24" i="102"/>
  <c r="U24" i="102"/>
  <c r="S25" i="102"/>
  <c r="T25" i="102"/>
  <c r="U25" i="102"/>
  <c r="S26" i="102"/>
  <c r="T26" i="102"/>
  <c r="U26" i="102"/>
  <c r="S27" i="102"/>
  <c r="T27" i="102"/>
  <c r="U27" i="102"/>
  <c r="S28" i="102"/>
  <c r="T28" i="102"/>
  <c r="U28" i="102"/>
  <c r="S29" i="102"/>
  <c r="T29" i="102"/>
  <c r="U29" i="102"/>
  <c r="S30" i="102"/>
  <c r="T30" i="102"/>
  <c r="U30" i="102"/>
  <c r="S31" i="102"/>
  <c r="T31" i="102"/>
  <c r="U31" i="102"/>
  <c r="S32" i="102"/>
  <c r="T32" i="102"/>
  <c r="U32" i="102"/>
  <c r="S33" i="102"/>
  <c r="T33" i="102"/>
  <c r="U33" i="102"/>
  <c r="S34" i="102"/>
  <c r="T34" i="102"/>
  <c r="U34" i="102"/>
  <c r="S35" i="102"/>
  <c r="T35" i="102"/>
  <c r="U35" i="102"/>
  <c r="S36" i="102"/>
  <c r="T36" i="102"/>
  <c r="U36" i="102"/>
  <c r="S37" i="102"/>
  <c r="T37" i="102"/>
  <c r="U37" i="102"/>
  <c r="S38" i="102"/>
  <c r="T38" i="102"/>
  <c r="U38" i="102"/>
  <c r="S39" i="102"/>
  <c r="T39" i="102"/>
  <c r="U39" i="102"/>
  <c r="S40" i="102"/>
  <c r="T40" i="102"/>
  <c r="U40" i="102"/>
  <c r="S41" i="102"/>
  <c r="T41" i="102"/>
  <c r="U41" i="102"/>
  <c r="S42" i="102"/>
  <c r="T42" i="102"/>
  <c r="U42" i="102"/>
  <c r="S43" i="102"/>
  <c r="T43" i="102"/>
  <c r="U43" i="102"/>
  <c r="S44" i="102"/>
  <c r="T44" i="102"/>
  <c r="U44" i="102"/>
  <c r="S45" i="102"/>
  <c r="T45" i="102"/>
  <c r="U45" i="102"/>
  <c r="S46" i="102"/>
  <c r="T46" i="102"/>
  <c r="U46" i="102"/>
  <c r="S47" i="102"/>
  <c r="T47" i="102"/>
  <c r="U47" i="102"/>
  <c r="S48" i="102"/>
  <c r="T48" i="102"/>
  <c r="U48" i="102"/>
  <c r="S49" i="102"/>
  <c r="T49" i="102"/>
  <c r="U49" i="102"/>
  <c r="S50" i="102"/>
  <c r="T50" i="102"/>
  <c r="U50" i="102"/>
  <c r="S51" i="102"/>
  <c r="T51" i="102"/>
  <c r="U51" i="102"/>
  <c r="S52" i="102"/>
  <c r="T52" i="102"/>
  <c r="U52" i="102"/>
  <c r="S53" i="102"/>
  <c r="T53" i="102"/>
  <c r="U53" i="102"/>
  <c r="B7" i="102"/>
  <c r="N31" i="103"/>
  <c r="J15" i="103"/>
  <c r="I15" i="103"/>
  <c r="C18" i="103" s="1"/>
  <c r="B18" i="103" s="1"/>
  <c r="K7" i="103"/>
  <c r="L7" i="103" s="1"/>
  <c r="B4" i="103"/>
  <c r="B17" i="103" s="1"/>
  <c r="U10" i="102"/>
  <c r="T10" i="102"/>
  <c r="S10" i="102"/>
  <c r="Q33" i="100"/>
  <c r="P33" i="100"/>
  <c r="W30" i="100"/>
  <c r="X30" i="100" s="1"/>
  <c r="U26" i="100"/>
  <c r="T26" i="100"/>
  <c r="Q26" i="100"/>
  <c r="P26" i="100"/>
  <c r="O26" i="100"/>
  <c r="N26" i="100"/>
  <c r="AB23" i="100"/>
  <c r="AA23" i="100"/>
  <c r="Z23" i="100"/>
  <c r="V23" i="100" s="1"/>
  <c r="S23" i="100"/>
  <c r="R23" i="100"/>
  <c r="AB22" i="100"/>
  <c r="AA22" i="100"/>
  <c r="Z22" i="100"/>
  <c r="V22" i="100"/>
  <c r="S22" i="100"/>
  <c r="R22" i="100"/>
  <c r="AB21" i="100"/>
  <c r="AA21" i="100"/>
  <c r="V21" i="100" s="1"/>
  <c r="Z21" i="100"/>
  <c r="AB20" i="100"/>
  <c r="AA20" i="100"/>
  <c r="V20" i="100" s="1"/>
  <c r="Z20" i="100"/>
  <c r="S20" i="100"/>
  <c r="R20" i="100"/>
  <c r="AB19" i="100"/>
  <c r="AA19" i="100"/>
  <c r="Z19" i="100"/>
  <c r="V19" i="100"/>
  <c r="C15" i="100"/>
  <c r="D14" i="100"/>
  <c r="D6" i="100"/>
  <c r="Q33" i="101"/>
  <c r="P33" i="101"/>
  <c r="W30" i="101"/>
  <c r="X30" i="101" s="1"/>
  <c r="U26" i="101"/>
  <c r="T26" i="101"/>
  <c r="Q26" i="101"/>
  <c r="P26" i="101"/>
  <c r="O26" i="101"/>
  <c r="N26" i="101"/>
  <c r="AB23" i="101"/>
  <c r="AA23" i="101"/>
  <c r="Z23" i="101"/>
  <c r="V23" i="101" s="1"/>
  <c r="S23" i="101"/>
  <c r="R23" i="101"/>
  <c r="AB22" i="101"/>
  <c r="AA22" i="101"/>
  <c r="Z22" i="101"/>
  <c r="V22" i="101"/>
  <c r="S22" i="101"/>
  <c r="R22" i="101"/>
  <c r="AB21" i="101"/>
  <c r="AA21" i="101"/>
  <c r="V21" i="101" s="1"/>
  <c r="Z21" i="101"/>
  <c r="AB20" i="101"/>
  <c r="AA20" i="101"/>
  <c r="V20" i="101" s="1"/>
  <c r="Z20" i="101"/>
  <c r="S20" i="101"/>
  <c r="R20" i="101"/>
  <c r="AB19" i="101"/>
  <c r="AA19" i="101"/>
  <c r="Z19" i="101"/>
  <c r="V19" i="101"/>
  <c r="C15" i="101"/>
  <c r="D14" i="101"/>
  <c r="D6" i="101"/>
  <c r="Q33" i="99"/>
  <c r="P33" i="99"/>
  <c r="W30" i="99"/>
  <c r="X30" i="99" s="1"/>
  <c r="U26" i="99"/>
  <c r="T26" i="99"/>
  <c r="Q26" i="99"/>
  <c r="P26" i="99"/>
  <c r="O26" i="99"/>
  <c r="N26" i="99"/>
  <c r="AB23" i="99"/>
  <c r="AA23" i="99"/>
  <c r="Z23" i="99"/>
  <c r="V23" i="99" s="1"/>
  <c r="S23" i="99"/>
  <c r="R23" i="99"/>
  <c r="AB22" i="99"/>
  <c r="AA22" i="99"/>
  <c r="V22" i="99" s="1"/>
  <c r="Z22" i="99"/>
  <c r="S22" i="99"/>
  <c r="R22" i="99"/>
  <c r="AB21" i="99"/>
  <c r="AA21" i="99"/>
  <c r="Z21" i="99"/>
  <c r="AB20" i="99"/>
  <c r="AA20" i="99"/>
  <c r="Z20" i="99"/>
  <c r="S20" i="99"/>
  <c r="R20" i="99"/>
  <c r="AB19" i="99"/>
  <c r="V19" i="99" s="1"/>
  <c r="AA19" i="99"/>
  <c r="Z19" i="99"/>
  <c r="C15" i="99"/>
  <c r="D14" i="99"/>
  <c r="D6" i="99"/>
  <c r="AB19" i="98"/>
  <c r="AA19" i="98"/>
  <c r="Z19" i="98"/>
  <c r="V19" i="98" s="1"/>
  <c r="Q33" i="98"/>
  <c r="P33" i="98"/>
  <c r="W30" i="98"/>
  <c r="X30" i="98" s="1"/>
  <c r="U26" i="98"/>
  <c r="T26" i="98"/>
  <c r="Q26" i="98"/>
  <c r="P26" i="98"/>
  <c r="O26" i="98"/>
  <c r="N26" i="98"/>
  <c r="AB23" i="98"/>
  <c r="V23" i="98" s="1"/>
  <c r="AA23" i="98"/>
  <c r="Z23" i="98"/>
  <c r="S23" i="98"/>
  <c r="R23" i="98"/>
  <c r="AB22" i="98"/>
  <c r="AA22" i="98"/>
  <c r="Z22" i="98"/>
  <c r="S22" i="98"/>
  <c r="R22" i="98"/>
  <c r="AB21" i="98"/>
  <c r="AA21" i="98"/>
  <c r="Z21" i="98"/>
  <c r="AB20" i="98"/>
  <c r="AA20" i="98"/>
  <c r="Z20" i="98"/>
  <c r="S20" i="98"/>
  <c r="R20" i="98"/>
  <c r="C15" i="98"/>
  <c r="D14" i="98"/>
  <c r="D6" i="98"/>
  <c r="O11" i="96"/>
  <c r="O12" i="96"/>
  <c r="O14" i="96"/>
  <c r="O15" i="96"/>
  <c r="O16" i="96"/>
  <c r="O10" i="96"/>
  <c r="M19" i="96"/>
  <c r="N19" i="96"/>
  <c r="L19" i="96"/>
  <c r="B7" i="96" s="1"/>
  <c r="N26" i="97"/>
  <c r="J10" i="97"/>
  <c r="I10" i="97"/>
  <c r="C13" i="97" s="1"/>
  <c r="B13" i="97" s="1"/>
  <c r="K8" i="97"/>
  <c r="L8" i="97" s="1"/>
  <c r="K7" i="97"/>
  <c r="L7" i="97" s="1"/>
  <c r="B4" i="97"/>
  <c r="B12" i="97" s="1"/>
  <c r="U17" i="96"/>
  <c r="V17" i="96" s="1"/>
  <c r="T17" i="96"/>
  <c r="S17" i="96"/>
  <c r="U16" i="96"/>
  <c r="V16" i="96" s="1"/>
  <c r="T16" i="96"/>
  <c r="S16" i="96"/>
  <c r="U15" i="96"/>
  <c r="T15" i="96"/>
  <c r="S15" i="96"/>
  <c r="U14" i="96"/>
  <c r="T14" i="96"/>
  <c r="S14" i="96"/>
  <c r="U13" i="96"/>
  <c r="T13" i="96"/>
  <c r="S13" i="96"/>
  <c r="U12" i="96"/>
  <c r="V12" i="96" s="1"/>
  <c r="T12" i="96"/>
  <c r="S12" i="96"/>
  <c r="U11" i="96"/>
  <c r="T11" i="96"/>
  <c r="S11" i="96"/>
  <c r="U10" i="96"/>
  <c r="T10" i="96"/>
  <c r="S10" i="96"/>
  <c r="B4" i="94"/>
  <c r="B12" i="94" s="1"/>
  <c r="N24" i="95"/>
  <c r="M24" i="95"/>
  <c r="L24" i="95"/>
  <c r="U22" i="95"/>
  <c r="T22" i="95"/>
  <c r="S22" i="95"/>
  <c r="V22" i="95" s="1"/>
  <c r="U21" i="95"/>
  <c r="T21" i="95"/>
  <c r="S21" i="95"/>
  <c r="U20" i="95"/>
  <c r="T20" i="95"/>
  <c r="S20" i="95"/>
  <c r="V20" i="95" s="1"/>
  <c r="B7" i="95"/>
  <c r="U19" i="95"/>
  <c r="T19" i="95"/>
  <c r="S19" i="95"/>
  <c r="U18" i="95"/>
  <c r="T18" i="95"/>
  <c r="S18" i="95"/>
  <c r="U17" i="95"/>
  <c r="T17" i="95"/>
  <c r="S17" i="95"/>
  <c r="U16" i="95"/>
  <c r="T16" i="95"/>
  <c r="S16" i="95"/>
  <c r="U15" i="95"/>
  <c r="T15" i="95"/>
  <c r="S15" i="95"/>
  <c r="U14" i="95"/>
  <c r="T14" i="95"/>
  <c r="S14" i="95"/>
  <c r="U13" i="95"/>
  <c r="T13" i="95"/>
  <c r="S13" i="95"/>
  <c r="U12" i="95"/>
  <c r="T12" i="95"/>
  <c r="S12" i="95"/>
  <c r="U11" i="95"/>
  <c r="T11" i="95"/>
  <c r="S11" i="95"/>
  <c r="U10" i="95"/>
  <c r="T10" i="95"/>
  <c r="S10" i="95"/>
  <c r="N26" i="94"/>
  <c r="J10" i="94"/>
  <c r="I10" i="94"/>
  <c r="C13" i="94" s="1"/>
  <c r="B13" i="94" s="1"/>
  <c r="K8" i="94"/>
  <c r="L8" i="94" s="1"/>
  <c r="K7" i="94"/>
  <c r="L7" i="94" s="1"/>
  <c r="V23" i="109" l="1"/>
  <c r="V22" i="109"/>
  <c r="V21" i="109"/>
  <c r="V27" i="109"/>
  <c r="V20" i="108"/>
  <c r="V22" i="105"/>
  <c r="V26" i="105"/>
  <c r="V38" i="105"/>
  <c r="V42" i="105"/>
  <c r="V46" i="105"/>
  <c r="V54" i="105"/>
  <c r="V48" i="105"/>
  <c r="V21" i="105"/>
  <c r="V25" i="105"/>
  <c r="V28" i="105"/>
  <c r="V31" i="105"/>
  <c r="V37" i="105"/>
  <c r="V41" i="105"/>
  <c r="V45" i="105"/>
  <c r="V51" i="105"/>
  <c r="V53" i="105"/>
  <c r="V30" i="105"/>
  <c r="V34" i="105"/>
  <c r="V23" i="105"/>
  <c r="V29" i="105"/>
  <c r="V33" i="105"/>
  <c r="V36" i="105"/>
  <c r="V39" i="105"/>
  <c r="V47" i="105"/>
  <c r="V52" i="105"/>
  <c r="V20" i="105"/>
  <c r="V57" i="104"/>
  <c r="V56" i="104"/>
  <c r="V53" i="104"/>
  <c r="V52" i="104"/>
  <c r="V49" i="104"/>
  <c r="V48" i="104"/>
  <c r="V45" i="104"/>
  <c r="V44" i="104"/>
  <c r="V41" i="104"/>
  <c r="V40" i="104"/>
  <c r="V37" i="104"/>
  <c r="V36" i="104"/>
  <c r="V33" i="104"/>
  <c r="V32" i="104"/>
  <c r="V29" i="104"/>
  <c r="V28" i="104"/>
  <c r="V25" i="104"/>
  <c r="V24" i="104"/>
  <c r="V54" i="104"/>
  <c r="V46" i="104"/>
  <c r="V38" i="104"/>
  <c r="V30" i="104"/>
  <c r="V22" i="104"/>
  <c r="V21" i="104"/>
  <c r="V20" i="104"/>
  <c r="V52" i="102"/>
  <c r="O52" i="102" s="1"/>
  <c r="V48" i="102"/>
  <c r="O48" i="102" s="1"/>
  <c r="V44" i="102"/>
  <c r="O44" i="102" s="1"/>
  <c r="V40" i="102"/>
  <c r="O40" i="102" s="1"/>
  <c r="V36" i="102"/>
  <c r="O36" i="102" s="1"/>
  <c r="V32" i="102"/>
  <c r="O32" i="102" s="1"/>
  <c r="V28" i="102"/>
  <c r="O28" i="102" s="1"/>
  <c r="V24" i="102"/>
  <c r="O24" i="102" s="1"/>
  <c r="V20" i="102"/>
  <c r="O20" i="102" s="1"/>
  <c r="V16" i="102"/>
  <c r="O16" i="102" s="1"/>
  <c r="V12" i="102"/>
  <c r="O12" i="102" s="1"/>
  <c r="V53" i="102"/>
  <c r="V49" i="102"/>
  <c r="O49" i="102" s="1"/>
  <c r="V45" i="102"/>
  <c r="O45" i="102" s="1"/>
  <c r="V41" i="102"/>
  <c r="V37" i="102"/>
  <c r="O37" i="102" s="1"/>
  <c r="V33" i="102"/>
  <c r="O33" i="102" s="1"/>
  <c r="V29" i="102"/>
  <c r="V25" i="102"/>
  <c r="O25" i="102" s="1"/>
  <c r="V21" i="102"/>
  <c r="V17" i="102"/>
  <c r="O17" i="102" s="1"/>
  <c r="V13" i="102"/>
  <c r="O13" i="102" s="1"/>
  <c r="V46" i="102"/>
  <c r="O46" i="102" s="1"/>
  <c r="V42" i="102"/>
  <c r="O42" i="102" s="1"/>
  <c r="V38" i="102"/>
  <c r="O38" i="102" s="1"/>
  <c r="V34" i="102"/>
  <c r="O34" i="102" s="1"/>
  <c r="V30" i="102"/>
  <c r="O30" i="102" s="1"/>
  <c r="V26" i="102"/>
  <c r="O26" i="102" s="1"/>
  <c r="V22" i="102"/>
  <c r="O22" i="102" s="1"/>
  <c r="V18" i="102"/>
  <c r="O18" i="102" s="1"/>
  <c r="V14" i="102"/>
  <c r="O14" i="102" s="1"/>
  <c r="V50" i="102"/>
  <c r="O50" i="102" s="1"/>
  <c r="V51" i="102"/>
  <c r="O51" i="102" s="1"/>
  <c r="V47" i="102"/>
  <c r="V43" i="102"/>
  <c r="O43" i="102" s="1"/>
  <c r="V39" i="102"/>
  <c r="O39" i="102" s="1"/>
  <c r="V35" i="102"/>
  <c r="V31" i="102"/>
  <c r="O31" i="102" s="1"/>
  <c r="V27" i="102"/>
  <c r="O27" i="102" s="1"/>
  <c r="V23" i="102"/>
  <c r="O23" i="102" s="1"/>
  <c r="V19" i="102"/>
  <c r="O19" i="102" s="1"/>
  <c r="V15" i="102"/>
  <c r="V11" i="102"/>
  <c r="O11" i="102" s="1"/>
  <c r="V10" i="102"/>
  <c r="O10" i="102" s="1"/>
  <c r="B23" i="103"/>
  <c r="B20" i="103"/>
  <c r="B19" i="103"/>
  <c r="B5" i="103"/>
  <c r="V21" i="99"/>
  <c r="V20" i="99"/>
  <c r="V21" i="98"/>
  <c r="V20" i="98"/>
  <c r="V22" i="98"/>
  <c r="V11" i="96"/>
  <c r="V15" i="96"/>
  <c r="V10" i="96"/>
  <c r="V14" i="96"/>
  <c r="V13" i="96"/>
  <c r="B14" i="97"/>
  <c r="B18" i="97"/>
  <c r="B15" i="97"/>
  <c r="B5" i="97"/>
  <c r="V14" i="95"/>
  <c r="V21" i="95"/>
  <c r="V12" i="95"/>
  <c r="V16" i="95"/>
  <c r="V19" i="95"/>
  <c r="V13" i="95"/>
  <c r="V17" i="95"/>
  <c r="V10" i="95"/>
  <c r="V11" i="95"/>
  <c r="V15" i="95"/>
  <c r="V18" i="95"/>
  <c r="B14" i="94"/>
  <c r="B18" i="94"/>
  <c r="B15" i="94"/>
  <c r="B5" i="94"/>
  <c r="Q66" i="93" l="1"/>
  <c r="P66" i="93"/>
  <c r="W60" i="93"/>
  <c r="X60" i="93" s="1"/>
  <c r="U56" i="93"/>
  <c r="T56" i="93"/>
  <c r="Q56" i="93"/>
  <c r="P56" i="93"/>
  <c r="O56" i="93"/>
  <c r="N56" i="93"/>
  <c r="AB52" i="93"/>
  <c r="AA52" i="93"/>
  <c r="Z52" i="93"/>
  <c r="V52" i="93" s="1"/>
  <c r="AB51" i="93"/>
  <c r="AA51" i="93"/>
  <c r="V51" i="93" s="1"/>
  <c r="Z51" i="93"/>
  <c r="S51" i="93"/>
  <c r="R51" i="93"/>
  <c r="AB50" i="93"/>
  <c r="AA50" i="93"/>
  <c r="Z50" i="93"/>
  <c r="AB49" i="93"/>
  <c r="AA49" i="93"/>
  <c r="Z49" i="93"/>
  <c r="S49" i="93"/>
  <c r="R49" i="93"/>
  <c r="AB48" i="93"/>
  <c r="AA48" i="93"/>
  <c r="Z48" i="93"/>
  <c r="V48" i="93" s="1"/>
  <c r="S48" i="93"/>
  <c r="R48" i="93"/>
  <c r="AB47" i="93"/>
  <c r="AA47" i="93"/>
  <c r="Z47" i="93"/>
  <c r="S47" i="93"/>
  <c r="R47" i="93"/>
  <c r="AB46" i="93"/>
  <c r="AA46" i="93"/>
  <c r="Z46" i="93"/>
  <c r="S46" i="93"/>
  <c r="R46" i="93"/>
  <c r="AB45" i="93"/>
  <c r="AA45" i="93"/>
  <c r="Z45" i="93"/>
  <c r="AB44" i="93"/>
  <c r="AA44" i="93"/>
  <c r="Z44" i="93"/>
  <c r="AB43" i="93"/>
  <c r="AA43" i="93"/>
  <c r="Z43" i="93"/>
  <c r="S43" i="93"/>
  <c r="R43" i="93"/>
  <c r="AB42" i="93"/>
  <c r="AA42" i="93"/>
  <c r="Z42" i="93"/>
  <c r="AB41" i="93"/>
  <c r="AA41" i="93"/>
  <c r="Z41" i="93"/>
  <c r="S41" i="93"/>
  <c r="R41" i="93"/>
  <c r="AB40" i="93"/>
  <c r="AA40" i="93"/>
  <c r="Z40" i="93"/>
  <c r="S40" i="93"/>
  <c r="R40" i="93"/>
  <c r="AB39" i="93"/>
  <c r="AA39" i="93"/>
  <c r="Z39" i="93"/>
  <c r="S39" i="93"/>
  <c r="R39" i="93"/>
  <c r="AB38" i="93"/>
  <c r="AA38" i="93"/>
  <c r="Z38" i="93"/>
  <c r="V38" i="93" s="1"/>
  <c r="S38" i="93"/>
  <c r="R38" i="93"/>
  <c r="AB37" i="93"/>
  <c r="AA37" i="93"/>
  <c r="Z37" i="93"/>
  <c r="AB36" i="93"/>
  <c r="AA36" i="93"/>
  <c r="Z36" i="93"/>
  <c r="AB35" i="93"/>
  <c r="AA35" i="93"/>
  <c r="V35" i="93" s="1"/>
  <c r="Z35" i="93"/>
  <c r="AB34" i="93"/>
  <c r="AA34" i="93"/>
  <c r="Z34" i="93"/>
  <c r="S34" i="93"/>
  <c r="R34" i="93"/>
  <c r="AB33" i="93"/>
  <c r="AA33" i="93"/>
  <c r="Z33" i="93"/>
  <c r="AB32" i="93"/>
  <c r="V32" i="93" s="1"/>
  <c r="AA32" i="93"/>
  <c r="Z32" i="93"/>
  <c r="S32" i="93"/>
  <c r="R32" i="93"/>
  <c r="AB31" i="93"/>
  <c r="AA31" i="93"/>
  <c r="Z31" i="93"/>
  <c r="S31" i="93"/>
  <c r="R31" i="93"/>
  <c r="AB30" i="93"/>
  <c r="AA30" i="93"/>
  <c r="Z30" i="93"/>
  <c r="S30" i="93"/>
  <c r="R30" i="93"/>
  <c r="AB29" i="93"/>
  <c r="AA29" i="93"/>
  <c r="Z29" i="93"/>
  <c r="S29" i="93"/>
  <c r="R29" i="93"/>
  <c r="AB28" i="93"/>
  <c r="AA28" i="93"/>
  <c r="Z28" i="93"/>
  <c r="AB27" i="93"/>
  <c r="AA27" i="93"/>
  <c r="V27" i="93" s="1"/>
  <c r="Z27" i="93"/>
  <c r="S27" i="93"/>
  <c r="R27" i="93"/>
  <c r="AB26" i="93"/>
  <c r="AA26" i="93"/>
  <c r="Z26" i="93"/>
  <c r="V26" i="93" s="1"/>
  <c r="S26" i="93"/>
  <c r="R26" i="93"/>
  <c r="AB25" i="93"/>
  <c r="AA25" i="93"/>
  <c r="Z25" i="93"/>
  <c r="S25" i="93"/>
  <c r="R25" i="93"/>
  <c r="AB24" i="93"/>
  <c r="AA24" i="93"/>
  <c r="V24" i="93" s="1"/>
  <c r="Z24" i="93"/>
  <c r="S24" i="93"/>
  <c r="R24" i="93"/>
  <c r="AB23" i="93"/>
  <c r="AA23" i="93"/>
  <c r="V23" i="93" s="1"/>
  <c r="Z23" i="93"/>
  <c r="S23" i="93"/>
  <c r="R23" i="93"/>
  <c r="AB22" i="93"/>
  <c r="AA22" i="93"/>
  <c r="Z22" i="93"/>
  <c r="V22" i="93" s="1"/>
  <c r="S22" i="93"/>
  <c r="R22" i="93"/>
  <c r="AB21" i="93"/>
  <c r="AA21" i="93"/>
  <c r="Z21" i="93"/>
  <c r="S21" i="93"/>
  <c r="R21" i="93"/>
  <c r="AB20" i="93"/>
  <c r="AA20" i="93"/>
  <c r="Z20" i="93"/>
  <c r="V20" i="93"/>
  <c r="S20" i="93"/>
  <c r="R20" i="93"/>
  <c r="AB19" i="93"/>
  <c r="AA19" i="93"/>
  <c r="V19" i="93" s="1"/>
  <c r="Z19" i="93"/>
  <c r="S19" i="93"/>
  <c r="R19" i="93"/>
  <c r="C15" i="93"/>
  <c r="D14" i="93"/>
  <c r="D6" i="93"/>
  <c r="R20" i="92"/>
  <c r="S20" i="92"/>
  <c r="R21" i="92"/>
  <c r="S21" i="92"/>
  <c r="R22" i="92"/>
  <c r="S22" i="92"/>
  <c r="R23" i="92"/>
  <c r="S23" i="92"/>
  <c r="R24" i="92"/>
  <c r="S24" i="92"/>
  <c r="R25" i="92"/>
  <c r="S25" i="92"/>
  <c r="R26" i="92"/>
  <c r="S26" i="92"/>
  <c r="R27" i="92"/>
  <c r="S27" i="92"/>
  <c r="R29" i="92"/>
  <c r="S29" i="92"/>
  <c r="R30" i="92"/>
  <c r="S30" i="92"/>
  <c r="R31" i="92"/>
  <c r="S31" i="92"/>
  <c r="R32" i="92"/>
  <c r="S32" i="92"/>
  <c r="R34" i="92"/>
  <c r="S34" i="92"/>
  <c r="R38" i="92"/>
  <c r="S38" i="92"/>
  <c r="R39" i="92"/>
  <c r="S39" i="92"/>
  <c r="R40" i="92"/>
  <c r="S40" i="92"/>
  <c r="R41" i="92"/>
  <c r="S41" i="92"/>
  <c r="R43" i="92"/>
  <c r="S43" i="92"/>
  <c r="R46" i="92"/>
  <c r="S46" i="92"/>
  <c r="R47" i="92"/>
  <c r="S47" i="92"/>
  <c r="R48" i="92"/>
  <c r="S48" i="92"/>
  <c r="R49" i="92"/>
  <c r="S49" i="92"/>
  <c r="R51" i="92"/>
  <c r="S51" i="92"/>
  <c r="Q66" i="92"/>
  <c r="P66" i="92"/>
  <c r="W60" i="92"/>
  <c r="X60" i="92" s="1"/>
  <c r="U56" i="92"/>
  <c r="T56" i="92"/>
  <c r="Q56" i="92"/>
  <c r="P56" i="92"/>
  <c r="O56" i="92"/>
  <c r="N56" i="92"/>
  <c r="AB52" i="92"/>
  <c r="AA52" i="92"/>
  <c r="Z52" i="92"/>
  <c r="AB51" i="92"/>
  <c r="AA51" i="92"/>
  <c r="Z51" i="92"/>
  <c r="AB50" i="92"/>
  <c r="AA50" i="92"/>
  <c r="Z50" i="92"/>
  <c r="AB49" i="92"/>
  <c r="AA49" i="92"/>
  <c r="Z49" i="92"/>
  <c r="AB48" i="92"/>
  <c r="AA48" i="92"/>
  <c r="Z48" i="92"/>
  <c r="AB47" i="92"/>
  <c r="AA47" i="92"/>
  <c r="Z47" i="92"/>
  <c r="AB46" i="92"/>
  <c r="AA46" i="92"/>
  <c r="Z46" i="92"/>
  <c r="AB45" i="92"/>
  <c r="AA45" i="92"/>
  <c r="Z45" i="92"/>
  <c r="AB44" i="92"/>
  <c r="AA44" i="92"/>
  <c r="Z44" i="92"/>
  <c r="AB43" i="92"/>
  <c r="AA43" i="92"/>
  <c r="Z43" i="92"/>
  <c r="AB42" i="92"/>
  <c r="AA42" i="92"/>
  <c r="Z42" i="92"/>
  <c r="AB41" i="92"/>
  <c r="AA41" i="92"/>
  <c r="Z41" i="92"/>
  <c r="AB40" i="92"/>
  <c r="AA40" i="92"/>
  <c r="Z40" i="92"/>
  <c r="AB39" i="92"/>
  <c r="AA39" i="92"/>
  <c r="Z39" i="92"/>
  <c r="AB38" i="92"/>
  <c r="AA38" i="92"/>
  <c r="Z38" i="92"/>
  <c r="AB37" i="92"/>
  <c r="AA37" i="92"/>
  <c r="Z37" i="92"/>
  <c r="AB36" i="92"/>
  <c r="AA36" i="92"/>
  <c r="Z36" i="92"/>
  <c r="AB35" i="92"/>
  <c r="AA35" i="92"/>
  <c r="Z35" i="92"/>
  <c r="AB34" i="92"/>
  <c r="AA34" i="92"/>
  <c r="Z34" i="92"/>
  <c r="AB33" i="92"/>
  <c r="AA33" i="92"/>
  <c r="Z33" i="92"/>
  <c r="AB32" i="92"/>
  <c r="AA32" i="92"/>
  <c r="Z32" i="92"/>
  <c r="AB31" i="92"/>
  <c r="AA31" i="92"/>
  <c r="Z31" i="92"/>
  <c r="AB30" i="92"/>
  <c r="AA30" i="92"/>
  <c r="Z30" i="92"/>
  <c r="AB29" i="92"/>
  <c r="AA29" i="92"/>
  <c r="Z29" i="92"/>
  <c r="AB28" i="92"/>
  <c r="AA28" i="92"/>
  <c r="Z28" i="92"/>
  <c r="AB27" i="92"/>
  <c r="AA27" i="92"/>
  <c r="Z27" i="92"/>
  <c r="AB26" i="92"/>
  <c r="AA26" i="92"/>
  <c r="Z26" i="92"/>
  <c r="AB25" i="92"/>
  <c r="AA25" i="92"/>
  <c r="Z25" i="92"/>
  <c r="AB24" i="92"/>
  <c r="AA24" i="92"/>
  <c r="Z24" i="92"/>
  <c r="AB23" i="92"/>
  <c r="AA23" i="92"/>
  <c r="Z23" i="92"/>
  <c r="AB22" i="92"/>
  <c r="AA22" i="92"/>
  <c r="Z22" i="92"/>
  <c r="AB21" i="92"/>
  <c r="AA21" i="92"/>
  <c r="Z21" i="92"/>
  <c r="AB20" i="92"/>
  <c r="AA20" i="92"/>
  <c r="Z20" i="92"/>
  <c r="AB19" i="92"/>
  <c r="AA19" i="92"/>
  <c r="Z19" i="92"/>
  <c r="S19" i="92"/>
  <c r="R19" i="92"/>
  <c r="C15" i="92"/>
  <c r="D14" i="92"/>
  <c r="D6" i="92"/>
  <c r="Q78" i="91"/>
  <c r="P78" i="91"/>
  <c r="W69" i="91"/>
  <c r="X69" i="91" s="1"/>
  <c r="U65" i="91"/>
  <c r="T65" i="91"/>
  <c r="Q65" i="91"/>
  <c r="P65" i="91"/>
  <c r="O65" i="91"/>
  <c r="N65" i="91"/>
  <c r="M65" i="91"/>
  <c r="L65" i="91"/>
  <c r="AB61" i="91"/>
  <c r="AA61" i="91"/>
  <c r="V61" i="91" s="1"/>
  <c r="Z61" i="91"/>
  <c r="S61" i="91"/>
  <c r="R61" i="91"/>
  <c r="AB60" i="91"/>
  <c r="AA60" i="91"/>
  <c r="Z60" i="91"/>
  <c r="V60" i="91"/>
  <c r="S60" i="91"/>
  <c r="R60" i="91"/>
  <c r="AB59" i="91"/>
  <c r="AA59" i="91"/>
  <c r="V59" i="91" s="1"/>
  <c r="Z59" i="91"/>
  <c r="S59" i="91"/>
  <c r="R59" i="91"/>
  <c r="AB58" i="91"/>
  <c r="AA58" i="91"/>
  <c r="Z58" i="91"/>
  <c r="V58" i="91"/>
  <c r="AB57" i="91"/>
  <c r="AA57" i="91"/>
  <c r="Z57" i="91"/>
  <c r="V57" i="91"/>
  <c r="S57" i="91"/>
  <c r="R57" i="91"/>
  <c r="AB56" i="91"/>
  <c r="AA56" i="91"/>
  <c r="Z56" i="91"/>
  <c r="AB55" i="91"/>
  <c r="AA55" i="91"/>
  <c r="Z55" i="91"/>
  <c r="AB54" i="91"/>
  <c r="AA54" i="91"/>
  <c r="Z54" i="91"/>
  <c r="V54" i="91"/>
  <c r="S54" i="91"/>
  <c r="R54" i="91"/>
  <c r="AB53" i="91"/>
  <c r="AA53" i="91"/>
  <c r="V53" i="91" s="1"/>
  <c r="Z53" i="91"/>
  <c r="S53" i="91"/>
  <c r="R53" i="91"/>
  <c r="AB52" i="91"/>
  <c r="AA52" i="91"/>
  <c r="Z52" i="91"/>
  <c r="V52" i="91"/>
  <c r="S52" i="91"/>
  <c r="R52" i="91"/>
  <c r="AB51" i="91"/>
  <c r="AA51" i="91"/>
  <c r="V51" i="91" s="1"/>
  <c r="Z51" i="91"/>
  <c r="AB50" i="91"/>
  <c r="AA50" i="91"/>
  <c r="V50" i="91" s="1"/>
  <c r="Z50" i="91"/>
  <c r="S50" i="91"/>
  <c r="R50" i="91"/>
  <c r="AB49" i="91"/>
  <c r="AA49" i="91"/>
  <c r="Z49" i="91"/>
  <c r="AB48" i="91"/>
  <c r="AA48" i="91"/>
  <c r="Z48" i="91"/>
  <c r="AB47" i="91"/>
  <c r="AA47" i="91"/>
  <c r="V47" i="91" s="1"/>
  <c r="Z47" i="91"/>
  <c r="S47" i="91"/>
  <c r="R47" i="91"/>
  <c r="AB46" i="91"/>
  <c r="AA46" i="91"/>
  <c r="Z46" i="91"/>
  <c r="V46" i="91"/>
  <c r="S46" i="91"/>
  <c r="R46" i="91"/>
  <c r="AB45" i="91"/>
  <c r="AA45" i="91"/>
  <c r="V45" i="91" s="1"/>
  <c r="Z45" i="91"/>
  <c r="S45" i="91"/>
  <c r="R45" i="91"/>
  <c r="AB44" i="91"/>
  <c r="AA44" i="91"/>
  <c r="Z44" i="91"/>
  <c r="V44" i="91"/>
  <c r="S44" i="91"/>
  <c r="R44" i="91"/>
  <c r="AB43" i="91"/>
  <c r="AA43" i="91"/>
  <c r="V43" i="91" s="1"/>
  <c r="Z43" i="91"/>
  <c r="S43" i="91"/>
  <c r="R43" i="91"/>
  <c r="AB42" i="91"/>
  <c r="AA42" i="91"/>
  <c r="Z42" i="91"/>
  <c r="AB41" i="91"/>
  <c r="AA41" i="91"/>
  <c r="Z41" i="91"/>
  <c r="V41" i="91" s="1"/>
  <c r="S41" i="91"/>
  <c r="R41" i="91"/>
  <c r="AB40" i="91"/>
  <c r="AA40" i="91"/>
  <c r="Z40" i="91"/>
  <c r="V40" i="91" s="1"/>
  <c r="S40" i="91"/>
  <c r="R40" i="91"/>
  <c r="AB39" i="91"/>
  <c r="AA39" i="91"/>
  <c r="Z39" i="91"/>
  <c r="V39" i="91" s="1"/>
  <c r="S39" i="91"/>
  <c r="R39" i="91"/>
  <c r="AB38" i="91"/>
  <c r="AA38" i="91"/>
  <c r="Z38" i="91"/>
  <c r="V38" i="91" s="1"/>
  <c r="S38" i="91"/>
  <c r="R38" i="91"/>
  <c r="AB37" i="91"/>
  <c r="AA37" i="91"/>
  <c r="Z37" i="91"/>
  <c r="V37" i="91" s="1"/>
  <c r="S37" i="91"/>
  <c r="R37" i="91"/>
  <c r="AB36" i="91"/>
  <c r="AA36" i="91"/>
  <c r="Z36" i="91"/>
  <c r="AB35" i="91"/>
  <c r="AA35" i="91"/>
  <c r="Z35" i="91"/>
  <c r="V35" i="91"/>
  <c r="S35" i="91"/>
  <c r="R35" i="91"/>
  <c r="AB34" i="91"/>
  <c r="AA34" i="91"/>
  <c r="V34" i="91" s="1"/>
  <c r="Z34" i="91"/>
  <c r="S34" i="91"/>
  <c r="R34" i="91"/>
  <c r="AB33" i="91"/>
  <c r="AA33" i="91"/>
  <c r="Z33" i="91"/>
  <c r="V33" i="91"/>
  <c r="S33" i="91"/>
  <c r="R33" i="91"/>
  <c r="AB32" i="91"/>
  <c r="AA32" i="91"/>
  <c r="V32" i="91" s="1"/>
  <c r="Z32" i="91"/>
  <c r="S32" i="91"/>
  <c r="R32" i="91"/>
  <c r="AB31" i="91"/>
  <c r="AA31" i="91"/>
  <c r="Z31" i="91"/>
  <c r="V31" i="91"/>
  <c r="S31" i="91"/>
  <c r="R31" i="91"/>
  <c r="AB30" i="91"/>
  <c r="AA30" i="91"/>
  <c r="Z30" i="91"/>
  <c r="AB29" i="91"/>
  <c r="AA29" i="91"/>
  <c r="Z29" i="91"/>
  <c r="V29" i="91" s="1"/>
  <c r="S29" i="91"/>
  <c r="R29" i="91"/>
  <c r="AB28" i="91"/>
  <c r="AA28" i="91"/>
  <c r="Z28" i="91"/>
  <c r="V28" i="91" s="1"/>
  <c r="S28" i="91"/>
  <c r="R28" i="91"/>
  <c r="AB27" i="91"/>
  <c r="AA27" i="91"/>
  <c r="Z27" i="91"/>
  <c r="V27" i="91" s="1"/>
  <c r="S27" i="91"/>
  <c r="R27" i="91"/>
  <c r="AB26" i="91"/>
  <c r="AA26" i="91"/>
  <c r="Z26" i="91"/>
  <c r="V26" i="91" s="1"/>
  <c r="S26" i="91"/>
  <c r="R26" i="91"/>
  <c r="AB25" i="91"/>
  <c r="AA25" i="91"/>
  <c r="Z25" i="91"/>
  <c r="V25" i="91" s="1"/>
  <c r="S25" i="91"/>
  <c r="R25" i="91"/>
  <c r="AB24" i="91"/>
  <c r="AA24" i="91"/>
  <c r="Z24" i="91"/>
  <c r="AB23" i="91"/>
  <c r="AA23" i="91"/>
  <c r="V23" i="91" s="1"/>
  <c r="Z23" i="91"/>
  <c r="S23" i="91"/>
  <c r="R23" i="91"/>
  <c r="AB22" i="91"/>
  <c r="AA22" i="91"/>
  <c r="Z22" i="91"/>
  <c r="V22" i="91"/>
  <c r="S22" i="91"/>
  <c r="R22" i="91"/>
  <c r="AB21" i="91"/>
  <c r="AA21" i="91"/>
  <c r="V21" i="91" s="1"/>
  <c r="Z21" i="91"/>
  <c r="S21" i="91"/>
  <c r="R21" i="91"/>
  <c r="AB20" i="91"/>
  <c r="AA20" i="91"/>
  <c r="Z20" i="91"/>
  <c r="V20" i="91"/>
  <c r="S20" i="91"/>
  <c r="R20" i="91"/>
  <c r="AB19" i="91"/>
  <c r="AA19" i="91"/>
  <c r="V19" i="91" s="1"/>
  <c r="Z19" i="91"/>
  <c r="S19" i="91"/>
  <c r="R19" i="91"/>
  <c r="C15" i="91"/>
  <c r="D14" i="91"/>
  <c r="D6" i="91"/>
  <c r="P78" i="90"/>
  <c r="V25" i="93" l="1"/>
  <c r="V31" i="93"/>
  <c r="V36" i="93"/>
  <c r="V41" i="93"/>
  <c r="V47" i="93"/>
  <c r="V30" i="93"/>
  <c r="V40" i="93"/>
  <c r="V44" i="93"/>
  <c r="V46" i="93"/>
  <c r="V21" i="93"/>
  <c r="V29" i="93"/>
  <c r="V34" i="93"/>
  <c r="V39" i="93"/>
  <c r="V43" i="93"/>
  <c r="V49" i="93"/>
  <c r="V41" i="92"/>
  <c r="V21" i="92"/>
  <c r="V29" i="92"/>
  <c r="V49" i="92"/>
  <c r="V22" i="92"/>
  <c r="V24" i="92"/>
  <c r="V32" i="92"/>
  <c r="V34" i="92"/>
  <c r="V36" i="92"/>
  <c r="V38" i="92"/>
  <c r="V44" i="92"/>
  <c r="V46" i="92"/>
  <c r="V48" i="92"/>
  <c r="V51" i="92"/>
  <c r="V23" i="92"/>
  <c r="V25" i="92"/>
  <c r="V27" i="92"/>
  <c r="V31" i="92"/>
  <c r="V35" i="92"/>
  <c r="V39" i="92"/>
  <c r="V43" i="92"/>
  <c r="V47" i="92"/>
  <c r="V20" i="92"/>
  <c r="V26" i="92"/>
  <c r="V30" i="92"/>
  <c r="V40" i="92"/>
  <c r="V52" i="92"/>
  <c r="V19" i="92"/>
  <c r="R20" i="90"/>
  <c r="S20" i="90"/>
  <c r="R21" i="90"/>
  <c r="S21" i="90"/>
  <c r="R22" i="90"/>
  <c r="S22" i="90"/>
  <c r="R23" i="90"/>
  <c r="S23" i="90"/>
  <c r="R25" i="90"/>
  <c r="S25" i="90"/>
  <c r="R26" i="90"/>
  <c r="S26" i="90"/>
  <c r="R27" i="90"/>
  <c r="S27" i="90"/>
  <c r="R28" i="90"/>
  <c r="S28" i="90"/>
  <c r="R29" i="90"/>
  <c r="S29" i="90"/>
  <c r="R31" i="90"/>
  <c r="S31" i="90"/>
  <c r="R32" i="90"/>
  <c r="S32" i="90"/>
  <c r="R33" i="90"/>
  <c r="S33" i="90"/>
  <c r="R34" i="90"/>
  <c r="S34" i="90"/>
  <c r="R35" i="90"/>
  <c r="S35" i="90"/>
  <c r="R37" i="90"/>
  <c r="S37" i="90"/>
  <c r="R38" i="90"/>
  <c r="S38" i="90"/>
  <c r="R39" i="90"/>
  <c r="S39" i="90"/>
  <c r="R40" i="90"/>
  <c r="S40" i="90"/>
  <c r="R41" i="90"/>
  <c r="S41" i="90"/>
  <c r="R43" i="90"/>
  <c r="S43" i="90"/>
  <c r="R44" i="90"/>
  <c r="S44" i="90"/>
  <c r="R45" i="90"/>
  <c r="S45" i="90"/>
  <c r="R46" i="90"/>
  <c r="S46" i="90"/>
  <c r="R47" i="90"/>
  <c r="S47" i="90"/>
  <c r="R50" i="90"/>
  <c r="S50" i="90"/>
  <c r="R52" i="90"/>
  <c r="S52" i="90"/>
  <c r="R53" i="90"/>
  <c r="S53" i="90"/>
  <c r="R54" i="90"/>
  <c r="S54" i="90"/>
  <c r="R57" i="90"/>
  <c r="S57" i="90"/>
  <c r="R59" i="90"/>
  <c r="S59" i="90"/>
  <c r="R60" i="90"/>
  <c r="S60" i="90"/>
  <c r="R61" i="90"/>
  <c r="S61" i="90"/>
  <c r="Z20" i="90"/>
  <c r="AA20" i="90"/>
  <c r="AB20" i="90"/>
  <c r="Z21" i="90"/>
  <c r="AA21" i="90"/>
  <c r="AB21" i="90"/>
  <c r="Z22" i="90"/>
  <c r="AA22" i="90"/>
  <c r="AB22" i="90"/>
  <c r="Z23" i="90"/>
  <c r="AA23" i="90"/>
  <c r="AB23" i="90"/>
  <c r="Z24" i="90"/>
  <c r="AA24" i="90"/>
  <c r="AB24" i="90"/>
  <c r="Z25" i="90"/>
  <c r="AA25" i="90"/>
  <c r="AB25" i="90"/>
  <c r="Z26" i="90"/>
  <c r="AA26" i="90"/>
  <c r="AB26" i="90"/>
  <c r="Z27" i="90"/>
  <c r="AA27" i="90"/>
  <c r="AB27" i="90"/>
  <c r="Z28" i="90"/>
  <c r="AA28" i="90"/>
  <c r="AB28" i="90"/>
  <c r="Z29" i="90"/>
  <c r="V29" i="90" s="1"/>
  <c r="AA29" i="90"/>
  <c r="AB29" i="90"/>
  <c r="Z30" i="90"/>
  <c r="AA30" i="90"/>
  <c r="AB30" i="90"/>
  <c r="Z31" i="90"/>
  <c r="AA31" i="90"/>
  <c r="AB31" i="90"/>
  <c r="Z32" i="90"/>
  <c r="AA32" i="90"/>
  <c r="AB32" i="90"/>
  <c r="Z33" i="90"/>
  <c r="AA33" i="90"/>
  <c r="AB33" i="90"/>
  <c r="Z34" i="90"/>
  <c r="AA34" i="90"/>
  <c r="AB34" i="90"/>
  <c r="Z35" i="90"/>
  <c r="AA35" i="90"/>
  <c r="AB35" i="90"/>
  <c r="Z36" i="90"/>
  <c r="AA36" i="90"/>
  <c r="AB36" i="90"/>
  <c r="Z37" i="90"/>
  <c r="AA37" i="90"/>
  <c r="AB37" i="90"/>
  <c r="Z38" i="90"/>
  <c r="AA38" i="90"/>
  <c r="AB38" i="90"/>
  <c r="Z39" i="90"/>
  <c r="AA39" i="90"/>
  <c r="AB39" i="90"/>
  <c r="Z40" i="90"/>
  <c r="AA40" i="90"/>
  <c r="AB40" i="90"/>
  <c r="Z41" i="90"/>
  <c r="AA41" i="90"/>
  <c r="AB41" i="90"/>
  <c r="Z42" i="90"/>
  <c r="AA42" i="90"/>
  <c r="AB42" i="90"/>
  <c r="Z43" i="90"/>
  <c r="AA43" i="90"/>
  <c r="AB43" i="90"/>
  <c r="Z44" i="90"/>
  <c r="AA44" i="90"/>
  <c r="AB44" i="90"/>
  <c r="Z45" i="90"/>
  <c r="AA45" i="90"/>
  <c r="AB45" i="90"/>
  <c r="Z46" i="90"/>
  <c r="AA46" i="90"/>
  <c r="AB46" i="90"/>
  <c r="Z47" i="90"/>
  <c r="AA47" i="90"/>
  <c r="AB47" i="90"/>
  <c r="Z48" i="90"/>
  <c r="AA48" i="90"/>
  <c r="AB48" i="90"/>
  <c r="Z49" i="90"/>
  <c r="AA49" i="90"/>
  <c r="AB49" i="90"/>
  <c r="Z50" i="90"/>
  <c r="AA50" i="90"/>
  <c r="AB50" i="90"/>
  <c r="Z51" i="90"/>
  <c r="AA51" i="90"/>
  <c r="AB51" i="90"/>
  <c r="Z52" i="90"/>
  <c r="AA52" i="90"/>
  <c r="AB52" i="90"/>
  <c r="Z53" i="90"/>
  <c r="AA53" i="90"/>
  <c r="AB53" i="90"/>
  <c r="Z54" i="90"/>
  <c r="AA54" i="90"/>
  <c r="AB54" i="90"/>
  <c r="Z55" i="90"/>
  <c r="AA55" i="90"/>
  <c r="AB55" i="90"/>
  <c r="Z56" i="90"/>
  <c r="AA56" i="90"/>
  <c r="AB56" i="90"/>
  <c r="Z57" i="90"/>
  <c r="AA57" i="90"/>
  <c r="AB57" i="90"/>
  <c r="Z58" i="90"/>
  <c r="AA58" i="90"/>
  <c r="AB58" i="90"/>
  <c r="Z59" i="90"/>
  <c r="AA59" i="90"/>
  <c r="AB59" i="90"/>
  <c r="Z60" i="90"/>
  <c r="AA60" i="90"/>
  <c r="AB60" i="90"/>
  <c r="Z61" i="90"/>
  <c r="AA61" i="90"/>
  <c r="AB61" i="90"/>
  <c r="D14" i="90"/>
  <c r="Q78" i="90"/>
  <c r="W69" i="90"/>
  <c r="X69" i="90" s="1"/>
  <c r="U65" i="90"/>
  <c r="T65" i="90"/>
  <c r="Q65" i="90"/>
  <c r="P65" i="90"/>
  <c r="O65" i="90"/>
  <c r="N65" i="90"/>
  <c r="M65" i="90"/>
  <c r="L65" i="90"/>
  <c r="AB19" i="90"/>
  <c r="AA19" i="90"/>
  <c r="Z19" i="90"/>
  <c r="S19" i="90"/>
  <c r="R19" i="90"/>
  <c r="C15" i="90"/>
  <c r="D6" i="90"/>
  <c r="R33" i="89"/>
  <c r="Q33" i="89"/>
  <c r="X30" i="89"/>
  <c r="Y30" i="89" s="1"/>
  <c r="V26" i="89"/>
  <c r="U26" i="89"/>
  <c r="R26" i="89"/>
  <c r="Q26" i="89"/>
  <c r="P26" i="89"/>
  <c r="O26" i="89"/>
  <c r="N26" i="89"/>
  <c r="M26" i="89"/>
  <c r="AC23" i="89"/>
  <c r="W23" i="89" s="1"/>
  <c r="AB23" i="89"/>
  <c r="AA23" i="89"/>
  <c r="AC22" i="89"/>
  <c r="W22" i="89" s="1"/>
  <c r="AB22" i="89"/>
  <c r="AA22" i="89"/>
  <c r="T22" i="89"/>
  <c r="S22" i="89"/>
  <c r="AC21" i="89"/>
  <c r="AB21" i="89"/>
  <c r="AA21" i="89"/>
  <c r="AC20" i="89"/>
  <c r="AB20" i="89"/>
  <c r="AA20" i="89"/>
  <c r="T20" i="89"/>
  <c r="S20" i="89"/>
  <c r="AC19" i="89"/>
  <c r="AB19" i="89"/>
  <c r="AA19" i="89"/>
  <c r="W19" i="89" s="1"/>
  <c r="T19" i="89"/>
  <c r="S19" i="89"/>
  <c r="D15" i="89"/>
  <c r="E14" i="89"/>
  <c r="E6" i="89"/>
  <c r="S20" i="88"/>
  <c r="T20" i="88"/>
  <c r="S22" i="88"/>
  <c r="T22" i="88"/>
  <c r="R33" i="88"/>
  <c r="Q33" i="88"/>
  <c r="X30" i="88"/>
  <c r="Y30" i="88" s="1"/>
  <c r="V26" i="88"/>
  <c r="U26" i="88"/>
  <c r="R26" i="88"/>
  <c r="Q26" i="88"/>
  <c r="P26" i="88"/>
  <c r="O26" i="88"/>
  <c r="N26" i="88"/>
  <c r="M26" i="88"/>
  <c r="AC23" i="88"/>
  <c r="AB23" i="88"/>
  <c r="AA23" i="88"/>
  <c r="AC22" i="88"/>
  <c r="AB22" i="88"/>
  <c r="AA22" i="88"/>
  <c r="AC21" i="88"/>
  <c r="AB21" i="88"/>
  <c r="AA21" i="88"/>
  <c r="W21" i="88" s="1"/>
  <c r="AC20" i="88"/>
  <c r="AB20" i="88"/>
  <c r="AA20" i="88"/>
  <c r="AC19" i="88"/>
  <c r="AB19" i="88"/>
  <c r="AA19" i="88"/>
  <c r="T19" i="88"/>
  <c r="S19" i="88"/>
  <c r="D15" i="88"/>
  <c r="E14" i="88"/>
  <c r="E6" i="88"/>
  <c r="R46" i="87"/>
  <c r="Q46" i="87"/>
  <c r="X44" i="87"/>
  <c r="Y44" i="87" s="1"/>
  <c r="Y43" i="87"/>
  <c r="X43" i="87"/>
  <c r="V39" i="87"/>
  <c r="U39" i="87"/>
  <c r="R39" i="87"/>
  <c r="Q39" i="87"/>
  <c r="P39" i="87"/>
  <c r="O39" i="87"/>
  <c r="N39" i="87"/>
  <c r="M39" i="87"/>
  <c r="AC36" i="87"/>
  <c r="AB36" i="87"/>
  <c r="AA36" i="87"/>
  <c r="W36" i="87" s="1"/>
  <c r="T36" i="87"/>
  <c r="S36" i="87"/>
  <c r="AC35" i="87"/>
  <c r="W35" i="87" s="1"/>
  <c r="AB35" i="87"/>
  <c r="AA35" i="87"/>
  <c r="T35" i="87"/>
  <c r="S35" i="87"/>
  <c r="AC34" i="87"/>
  <c r="AB34" i="87"/>
  <c r="AA34" i="87"/>
  <c r="W34" i="87" s="1"/>
  <c r="T34" i="87"/>
  <c r="S34" i="87"/>
  <c r="AC33" i="87"/>
  <c r="W33" i="87" s="1"/>
  <c r="AB33" i="87"/>
  <c r="AA33" i="87"/>
  <c r="T33" i="87"/>
  <c r="S33" i="87"/>
  <c r="AC32" i="87"/>
  <c r="AB32" i="87"/>
  <c r="AA32" i="87"/>
  <c r="W32" i="87" s="1"/>
  <c r="T32" i="87"/>
  <c r="S32" i="87"/>
  <c r="AC31" i="87"/>
  <c r="W31" i="87" s="1"/>
  <c r="AB31" i="87"/>
  <c r="AA31" i="87"/>
  <c r="T31" i="87"/>
  <c r="S31" i="87"/>
  <c r="AC30" i="87"/>
  <c r="AB30" i="87"/>
  <c r="AA30" i="87"/>
  <c r="W30" i="87" s="1"/>
  <c r="T30" i="87"/>
  <c r="S30" i="87"/>
  <c r="AC29" i="87"/>
  <c r="W29" i="87" s="1"/>
  <c r="AB29" i="87"/>
  <c r="AA29" i="87"/>
  <c r="T29" i="87"/>
  <c r="S29" i="87"/>
  <c r="AC28" i="87"/>
  <c r="AB28" i="87"/>
  <c r="AA28" i="87"/>
  <c r="AC27" i="87"/>
  <c r="AB27" i="87"/>
  <c r="AA27" i="87"/>
  <c r="W27" i="87"/>
  <c r="AC26" i="87"/>
  <c r="AB26" i="87"/>
  <c r="AA26" i="87"/>
  <c r="W26" i="87"/>
  <c r="T26" i="87"/>
  <c r="S26" i="87"/>
  <c r="AC25" i="87"/>
  <c r="AB25" i="87"/>
  <c r="W25" i="87" s="1"/>
  <c r="AA25" i="87"/>
  <c r="AC24" i="87"/>
  <c r="AB24" i="87"/>
  <c r="W24" i="87" s="1"/>
  <c r="AA24" i="87"/>
  <c r="T24" i="87"/>
  <c r="S24" i="87"/>
  <c r="AC23" i="87"/>
  <c r="AB23" i="87"/>
  <c r="AA23" i="87"/>
  <c r="W23" i="87"/>
  <c r="T23" i="87"/>
  <c r="S23" i="87"/>
  <c r="AC22" i="87"/>
  <c r="AB22" i="87"/>
  <c r="W22" i="87" s="1"/>
  <c r="AA22" i="87"/>
  <c r="T22" i="87"/>
  <c r="S22" i="87"/>
  <c r="AC21" i="87"/>
  <c r="AB21" i="87"/>
  <c r="AA21" i="87"/>
  <c r="W21" i="87"/>
  <c r="T21" i="87"/>
  <c r="S21" i="87"/>
  <c r="AC20" i="87"/>
  <c r="AB20" i="87"/>
  <c r="W20" i="87" s="1"/>
  <c r="AA20" i="87"/>
  <c r="T20" i="87"/>
  <c r="S20" i="87"/>
  <c r="AC19" i="87"/>
  <c r="AB19" i="87"/>
  <c r="AA19" i="87"/>
  <c r="W19" i="87"/>
  <c r="T19" i="87"/>
  <c r="S19" i="87"/>
  <c r="D15" i="87"/>
  <c r="E14" i="87"/>
  <c r="E6" i="87"/>
  <c r="W34" i="86"/>
  <c r="W27" i="86"/>
  <c r="S20" i="86"/>
  <c r="T20" i="86"/>
  <c r="S21" i="86"/>
  <c r="T21" i="86"/>
  <c r="S22" i="86"/>
  <c r="T22" i="86"/>
  <c r="S23" i="86"/>
  <c r="T23" i="86"/>
  <c r="S24" i="86"/>
  <c r="T24" i="86"/>
  <c r="S26" i="86"/>
  <c r="T26" i="86"/>
  <c r="S29" i="86"/>
  <c r="T29" i="86"/>
  <c r="S30" i="86"/>
  <c r="T30" i="86"/>
  <c r="S31" i="86"/>
  <c r="T31" i="86"/>
  <c r="S32" i="86"/>
  <c r="T32" i="86"/>
  <c r="S33" i="86"/>
  <c r="T33" i="86"/>
  <c r="S34" i="86"/>
  <c r="T34" i="86"/>
  <c r="S35" i="86"/>
  <c r="T35" i="86"/>
  <c r="S36" i="86"/>
  <c r="T36" i="86"/>
  <c r="R46" i="86"/>
  <c r="Q46" i="86"/>
  <c r="X44" i="86"/>
  <c r="Y44" i="86" s="1"/>
  <c r="X43" i="86"/>
  <c r="Y43" i="86" s="1"/>
  <c r="V39" i="86"/>
  <c r="U39" i="86"/>
  <c r="R39" i="86"/>
  <c r="Q39" i="86"/>
  <c r="P39" i="86"/>
  <c r="O39" i="86"/>
  <c r="N39" i="86"/>
  <c r="M39" i="86"/>
  <c r="AC36" i="86"/>
  <c r="AB36" i="86"/>
  <c r="AA36" i="86"/>
  <c r="AC35" i="86"/>
  <c r="AB35" i="86"/>
  <c r="W35" i="86" s="1"/>
  <c r="AA35" i="86"/>
  <c r="AC34" i="86"/>
  <c r="AB34" i="86"/>
  <c r="AA34" i="86"/>
  <c r="AC33" i="86"/>
  <c r="AB33" i="86"/>
  <c r="AA33" i="86"/>
  <c r="AC32" i="86"/>
  <c r="AB32" i="86"/>
  <c r="AA32" i="86"/>
  <c r="AC31" i="86"/>
  <c r="AB31" i="86"/>
  <c r="AA31" i="86"/>
  <c r="AC30" i="86"/>
  <c r="AB30" i="86"/>
  <c r="AA30" i="86"/>
  <c r="W30" i="86" s="1"/>
  <c r="AC29" i="86"/>
  <c r="AB29" i="86"/>
  <c r="AA29" i="86"/>
  <c r="AC28" i="86"/>
  <c r="AB28" i="86"/>
  <c r="AA28" i="86"/>
  <c r="AC27" i="86"/>
  <c r="AB27" i="86"/>
  <c r="AA27" i="86"/>
  <c r="AC26" i="86"/>
  <c r="AB26" i="86"/>
  <c r="AA26" i="86"/>
  <c r="AC25" i="86"/>
  <c r="AB25" i="86"/>
  <c r="AA25" i="86"/>
  <c r="W25" i="86"/>
  <c r="AC24" i="86"/>
  <c r="AB24" i="86"/>
  <c r="AA24" i="86"/>
  <c r="AC23" i="86"/>
  <c r="AB23" i="86"/>
  <c r="AA23" i="86"/>
  <c r="AC22" i="86"/>
  <c r="AB22" i="86"/>
  <c r="AA22" i="86"/>
  <c r="AC21" i="86"/>
  <c r="AB21" i="86"/>
  <c r="AA21" i="86"/>
  <c r="AC20" i="86"/>
  <c r="AB20" i="86"/>
  <c r="AA20" i="86"/>
  <c r="AC19" i="86"/>
  <c r="AB19" i="86"/>
  <c r="AA19" i="86"/>
  <c r="T19" i="86"/>
  <c r="S19" i="86"/>
  <c r="D15" i="86"/>
  <c r="E14" i="86"/>
  <c r="E6" i="86"/>
  <c r="R46" i="85"/>
  <c r="Q46" i="85"/>
  <c r="X44" i="85"/>
  <c r="Y44" i="85" s="1"/>
  <c r="X43" i="85"/>
  <c r="Y43" i="85" s="1"/>
  <c r="V39" i="85"/>
  <c r="U39" i="85"/>
  <c r="R39" i="85"/>
  <c r="Q39" i="85"/>
  <c r="P39" i="85"/>
  <c r="O39" i="85"/>
  <c r="N39" i="85"/>
  <c r="M39" i="85"/>
  <c r="AC36" i="85"/>
  <c r="AB36" i="85"/>
  <c r="AA36" i="85"/>
  <c r="W36" i="85" s="1"/>
  <c r="AC35" i="85"/>
  <c r="AB35" i="85"/>
  <c r="AA35" i="85"/>
  <c r="W35" i="85" s="1"/>
  <c r="T35" i="85"/>
  <c r="S35" i="85"/>
  <c r="AC34" i="85"/>
  <c r="AB34" i="85"/>
  <c r="AA34" i="85"/>
  <c r="AC33" i="85"/>
  <c r="W33" i="85" s="1"/>
  <c r="AB33" i="85"/>
  <c r="AA33" i="85"/>
  <c r="T33" i="85"/>
  <c r="S33" i="85"/>
  <c r="AC32" i="85"/>
  <c r="AB32" i="85"/>
  <c r="AA32" i="85"/>
  <c r="W32" i="85" s="1"/>
  <c r="T32" i="85"/>
  <c r="S32" i="85"/>
  <c r="AC31" i="85"/>
  <c r="W31" i="85" s="1"/>
  <c r="AB31" i="85"/>
  <c r="AA31" i="85"/>
  <c r="T31" i="85"/>
  <c r="S31" i="85"/>
  <c r="AC30" i="85"/>
  <c r="AB30" i="85"/>
  <c r="AA30" i="85"/>
  <c r="W30" i="85" s="1"/>
  <c r="T30" i="85"/>
  <c r="S30" i="85"/>
  <c r="AC29" i="85"/>
  <c r="W29" i="85" s="1"/>
  <c r="AB29" i="85"/>
  <c r="AA29" i="85"/>
  <c r="T29" i="85"/>
  <c r="S29" i="85"/>
  <c r="AC28" i="85"/>
  <c r="AB28" i="85"/>
  <c r="AA28" i="85"/>
  <c r="W28" i="85" s="1"/>
  <c r="T28" i="85"/>
  <c r="S28" i="85"/>
  <c r="AC27" i="85"/>
  <c r="AB27" i="85"/>
  <c r="AA27" i="85"/>
  <c r="AC26" i="85"/>
  <c r="AB26" i="85"/>
  <c r="AA26" i="85"/>
  <c r="W26" i="85" s="1"/>
  <c r="T26" i="85"/>
  <c r="S26" i="85"/>
  <c r="AC25" i="85"/>
  <c r="AB25" i="85"/>
  <c r="AA25" i="85"/>
  <c r="W25" i="85"/>
  <c r="T25" i="85"/>
  <c r="S25" i="85"/>
  <c r="AC24" i="85"/>
  <c r="AB24" i="85"/>
  <c r="AA24" i="85"/>
  <c r="W24" i="85" s="1"/>
  <c r="T24" i="85"/>
  <c r="S24" i="85"/>
  <c r="AC23" i="85"/>
  <c r="AB23" i="85"/>
  <c r="AA23" i="85"/>
  <c r="W23" i="85"/>
  <c r="T23" i="85"/>
  <c r="S23" i="85"/>
  <c r="AC22" i="85"/>
  <c r="AB22" i="85"/>
  <c r="AA22" i="85"/>
  <c r="W22" i="85" s="1"/>
  <c r="T22" i="85"/>
  <c r="S22" i="85"/>
  <c r="AC21" i="85"/>
  <c r="AB21" i="85"/>
  <c r="AA21" i="85"/>
  <c r="W21" i="85"/>
  <c r="T21" i="85"/>
  <c r="S21" i="85"/>
  <c r="AC20" i="85"/>
  <c r="AB20" i="85"/>
  <c r="W20" i="85" s="1"/>
  <c r="AA20" i="85"/>
  <c r="T20" i="85"/>
  <c r="S20" i="85"/>
  <c r="AC19" i="85"/>
  <c r="AB19" i="85"/>
  <c r="AA19" i="85"/>
  <c r="W19" i="85"/>
  <c r="T19" i="85"/>
  <c r="S19" i="85"/>
  <c r="D15" i="85"/>
  <c r="E14" i="85"/>
  <c r="E6" i="85"/>
  <c r="AA27" i="84"/>
  <c r="AB27" i="84"/>
  <c r="AC27" i="84"/>
  <c r="AA28" i="84"/>
  <c r="AB28" i="84"/>
  <c r="AC28" i="84"/>
  <c r="AA29" i="84"/>
  <c r="AB29" i="84"/>
  <c r="AC29" i="84"/>
  <c r="AA30" i="84"/>
  <c r="AB30" i="84"/>
  <c r="AC30" i="84"/>
  <c r="AA31" i="84"/>
  <c r="AB31" i="84"/>
  <c r="AC31" i="84"/>
  <c r="AA32" i="84"/>
  <c r="AB32" i="84"/>
  <c r="AC32" i="84"/>
  <c r="AA33" i="84"/>
  <c r="AB33" i="84"/>
  <c r="AC33" i="84"/>
  <c r="W28" i="84"/>
  <c r="S20" i="84"/>
  <c r="T20" i="84"/>
  <c r="S21" i="84"/>
  <c r="T21" i="84"/>
  <c r="S22" i="84"/>
  <c r="T22" i="84"/>
  <c r="S23" i="84"/>
  <c r="T23" i="84"/>
  <c r="S24" i="84"/>
  <c r="T24" i="84"/>
  <c r="S25" i="84"/>
  <c r="T25" i="84"/>
  <c r="S26" i="84"/>
  <c r="T26" i="84"/>
  <c r="S28" i="84"/>
  <c r="T28" i="84"/>
  <c r="S29" i="84"/>
  <c r="T29" i="84"/>
  <c r="S30" i="84"/>
  <c r="T30" i="84"/>
  <c r="S31" i="84"/>
  <c r="T31" i="84"/>
  <c r="S32" i="84"/>
  <c r="T32" i="84"/>
  <c r="S33" i="84"/>
  <c r="T33" i="84"/>
  <c r="S35" i="84"/>
  <c r="T35" i="84"/>
  <c r="R46" i="84"/>
  <c r="Q46" i="84"/>
  <c r="X44" i="84"/>
  <c r="Y44" i="84" s="1"/>
  <c r="X43" i="84"/>
  <c r="Y43" i="84" s="1"/>
  <c r="V39" i="84"/>
  <c r="U39" i="84"/>
  <c r="R39" i="84"/>
  <c r="Q39" i="84"/>
  <c r="P39" i="84"/>
  <c r="O39" i="84"/>
  <c r="N39" i="84"/>
  <c r="M39" i="84"/>
  <c r="AC36" i="84"/>
  <c r="AB36" i="84"/>
  <c r="AA36" i="84"/>
  <c r="W36" i="84" s="1"/>
  <c r="AC35" i="84"/>
  <c r="AB35" i="84"/>
  <c r="AA35" i="84"/>
  <c r="AC34" i="84"/>
  <c r="AB34" i="84"/>
  <c r="AA34" i="84"/>
  <c r="W32" i="84"/>
  <c r="AC26" i="84"/>
  <c r="AB26" i="84"/>
  <c r="AA26" i="84"/>
  <c r="W26" i="84" s="1"/>
  <c r="AC25" i="84"/>
  <c r="AB25" i="84"/>
  <c r="AA25" i="84"/>
  <c r="AC24" i="84"/>
  <c r="AB24" i="84"/>
  <c r="AA24" i="84"/>
  <c r="AC23" i="84"/>
  <c r="AB23" i="84"/>
  <c r="AA23" i="84"/>
  <c r="W23" i="84" s="1"/>
  <c r="AC22" i="84"/>
  <c r="AB22" i="84"/>
  <c r="AA22" i="84"/>
  <c r="W22" i="84" s="1"/>
  <c r="AC21" i="84"/>
  <c r="AB21" i="84"/>
  <c r="AA21" i="84"/>
  <c r="AC20" i="84"/>
  <c r="AB20" i="84"/>
  <c r="AA20" i="84"/>
  <c r="AC19" i="84"/>
  <c r="AB19" i="84"/>
  <c r="AA19" i="84"/>
  <c r="T19" i="84"/>
  <c r="S19" i="84"/>
  <c r="D15" i="84"/>
  <c r="E14" i="84"/>
  <c r="E6" i="84"/>
  <c r="W20" i="73"/>
  <c r="W21" i="73"/>
  <c r="W22" i="73"/>
  <c r="W23" i="73"/>
  <c r="W24" i="73"/>
  <c r="W26" i="73"/>
  <c r="W27" i="73"/>
  <c r="W29" i="73"/>
  <c r="W30" i="73"/>
  <c r="W31" i="73"/>
  <c r="W32" i="73"/>
  <c r="W33" i="73"/>
  <c r="W34" i="73"/>
  <c r="W35" i="73"/>
  <c r="W36" i="73"/>
  <c r="W20" i="72"/>
  <c r="W21" i="72"/>
  <c r="W22" i="72"/>
  <c r="W23" i="72"/>
  <c r="W24" i="72"/>
  <c r="W26" i="72"/>
  <c r="W27" i="72"/>
  <c r="W29" i="72"/>
  <c r="W30" i="72"/>
  <c r="W31" i="72"/>
  <c r="W32" i="72"/>
  <c r="W33" i="72"/>
  <c r="W34" i="72"/>
  <c r="W35" i="72"/>
  <c r="W36" i="72"/>
  <c r="R46" i="73"/>
  <c r="Q46" i="73"/>
  <c r="X44" i="73"/>
  <c r="Y44" i="73" s="1"/>
  <c r="X43" i="73"/>
  <c r="Y43" i="73" s="1"/>
  <c r="V39" i="73"/>
  <c r="U39" i="73"/>
  <c r="R39" i="73"/>
  <c r="Q39" i="73"/>
  <c r="P39" i="73"/>
  <c r="O39" i="73"/>
  <c r="N39" i="73"/>
  <c r="M39" i="73"/>
  <c r="AC36" i="73"/>
  <c r="AB36" i="73"/>
  <c r="AA36" i="73"/>
  <c r="T36" i="73"/>
  <c r="S36" i="73"/>
  <c r="AC35" i="73"/>
  <c r="AB35" i="73"/>
  <c r="AA35" i="73"/>
  <c r="T35" i="73"/>
  <c r="S35" i="73"/>
  <c r="AC34" i="73"/>
  <c r="AB34" i="73"/>
  <c r="AA34" i="73"/>
  <c r="T34" i="73"/>
  <c r="S34" i="73"/>
  <c r="AC33" i="73"/>
  <c r="AB33" i="73"/>
  <c r="AA33" i="73"/>
  <c r="T33" i="73"/>
  <c r="S33" i="73"/>
  <c r="AC32" i="73"/>
  <c r="AB32" i="73"/>
  <c r="AA32" i="73"/>
  <c r="T32" i="73"/>
  <c r="S32" i="73"/>
  <c r="AC31" i="73"/>
  <c r="AB31" i="73"/>
  <c r="AA31" i="73"/>
  <c r="T31" i="73"/>
  <c r="S31" i="73"/>
  <c r="AC30" i="73"/>
  <c r="AB30" i="73"/>
  <c r="AA30" i="73"/>
  <c r="T30" i="73"/>
  <c r="S30" i="73"/>
  <c r="AC29" i="73"/>
  <c r="AB29" i="73"/>
  <c r="AA29" i="73"/>
  <c r="T29" i="73"/>
  <c r="S29" i="73"/>
  <c r="AC27" i="73"/>
  <c r="AB27" i="73"/>
  <c r="AA27" i="73"/>
  <c r="AC26" i="73"/>
  <c r="AB26" i="73"/>
  <c r="AA26" i="73"/>
  <c r="T26" i="73"/>
  <c r="S26" i="73"/>
  <c r="AC25" i="73"/>
  <c r="AB25" i="73"/>
  <c r="AA25" i="73"/>
  <c r="AC24" i="73"/>
  <c r="AB24" i="73"/>
  <c r="AA24" i="73"/>
  <c r="T24" i="73"/>
  <c r="S24" i="73"/>
  <c r="AC23" i="73"/>
  <c r="AB23" i="73"/>
  <c r="AA23" i="73"/>
  <c r="T23" i="73"/>
  <c r="S23" i="73"/>
  <c r="AC22" i="73"/>
  <c r="AB22" i="73"/>
  <c r="AA22" i="73"/>
  <c r="T22" i="73"/>
  <c r="S22" i="73"/>
  <c r="AC21" i="73"/>
  <c r="AB21" i="73"/>
  <c r="AA21" i="73"/>
  <c r="T21" i="73"/>
  <c r="S21" i="73"/>
  <c r="AC20" i="73"/>
  <c r="AB20" i="73"/>
  <c r="AA20" i="73"/>
  <c r="T20" i="73"/>
  <c r="S20" i="73"/>
  <c r="AC19" i="73"/>
  <c r="AB19" i="73"/>
  <c r="AA19" i="73"/>
  <c r="T19" i="73"/>
  <c r="S19" i="73"/>
  <c r="D15" i="73"/>
  <c r="E14" i="73"/>
  <c r="E6" i="73"/>
  <c r="AA20" i="72"/>
  <c r="AB20" i="72"/>
  <c r="AC20" i="72"/>
  <c r="AA21" i="72"/>
  <c r="AB21" i="72"/>
  <c r="AC21" i="72"/>
  <c r="AA22" i="72"/>
  <c r="AB22" i="72"/>
  <c r="AC22" i="72"/>
  <c r="AA23" i="72"/>
  <c r="AB23" i="72"/>
  <c r="AC23" i="72"/>
  <c r="AA24" i="72"/>
  <c r="AB24" i="72"/>
  <c r="AC24" i="72"/>
  <c r="AA25" i="72"/>
  <c r="AB25" i="72"/>
  <c r="AC25" i="72"/>
  <c r="AA26" i="72"/>
  <c r="AB26" i="72"/>
  <c r="AC26" i="72"/>
  <c r="AA27" i="72"/>
  <c r="AB27" i="72"/>
  <c r="AC27" i="72"/>
  <c r="AA29" i="72"/>
  <c r="AB29" i="72"/>
  <c r="AC29" i="72"/>
  <c r="AA30" i="72"/>
  <c r="AB30" i="72"/>
  <c r="AC30" i="72"/>
  <c r="AA31" i="72"/>
  <c r="AB31" i="72"/>
  <c r="AC31" i="72"/>
  <c r="AA32" i="72"/>
  <c r="AB32" i="72"/>
  <c r="AC32" i="72"/>
  <c r="AA33" i="72"/>
  <c r="AB33" i="72"/>
  <c r="AC33" i="72"/>
  <c r="AA34" i="72"/>
  <c r="AB34" i="72"/>
  <c r="AC34" i="72"/>
  <c r="AA35" i="72"/>
  <c r="AB35" i="72"/>
  <c r="AC35" i="72"/>
  <c r="AA36" i="72"/>
  <c r="AB36" i="72"/>
  <c r="AC36" i="72"/>
  <c r="S20" i="72"/>
  <c r="T20" i="72"/>
  <c r="S21" i="72"/>
  <c r="T21" i="72"/>
  <c r="S22" i="72"/>
  <c r="T22" i="72"/>
  <c r="S23" i="72"/>
  <c r="T23" i="72"/>
  <c r="S24" i="72"/>
  <c r="T24" i="72"/>
  <c r="S26" i="72"/>
  <c r="T26" i="72"/>
  <c r="S29" i="72"/>
  <c r="T29" i="72"/>
  <c r="S30" i="72"/>
  <c r="T30" i="72"/>
  <c r="S31" i="72"/>
  <c r="T31" i="72"/>
  <c r="S32" i="72"/>
  <c r="T32" i="72"/>
  <c r="S33" i="72"/>
  <c r="T33" i="72"/>
  <c r="S34" i="72"/>
  <c r="T34" i="72"/>
  <c r="S35" i="72"/>
  <c r="T35" i="72"/>
  <c r="S36" i="72"/>
  <c r="T36" i="72"/>
  <c r="S19" i="72"/>
  <c r="T19" i="72"/>
  <c r="V61" i="90" l="1"/>
  <c r="V57" i="90"/>
  <c r="V53" i="90"/>
  <c r="V45" i="90"/>
  <c r="V41" i="90"/>
  <c r="V37" i="90"/>
  <c r="V33" i="90"/>
  <c r="V25" i="90"/>
  <c r="V21" i="90"/>
  <c r="V59" i="90"/>
  <c r="V51" i="90"/>
  <c r="V47" i="90"/>
  <c r="V43" i="90"/>
  <c r="V39" i="90"/>
  <c r="V35" i="90"/>
  <c r="V31" i="90"/>
  <c r="V27" i="90"/>
  <c r="V23" i="90"/>
  <c r="V60" i="90"/>
  <c r="V58" i="90"/>
  <c r="V54" i="90"/>
  <c r="V52" i="90"/>
  <c r="V50" i="90"/>
  <c r="V46" i="90"/>
  <c r="V44" i="90"/>
  <c r="V40" i="90"/>
  <c r="V38" i="90"/>
  <c r="V34" i="90"/>
  <c r="V32" i="90"/>
  <c r="V28" i="90"/>
  <c r="V26" i="90"/>
  <c r="V22" i="90"/>
  <c r="V20" i="90"/>
  <c r="V19" i="90"/>
  <c r="W21" i="89"/>
  <c r="W20" i="89"/>
  <c r="W19" i="88"/>
  <c r="W23" i="88"/>
  <c r="W20" i="88"/>
  <c r="W22" i="88"/>
  <c r="W19" i="86"/>
  <c r="W20" i="86"/>
  <c r="W23" i="86"/>
  <c r="W24" i="86"/>
  <c r="W21" i="86"/>
  <c r="W22" i="86"/>
  <c r="W31" i="86"/>
  <c r="W32" i="86"/>
  <c r="W36" i="86"/>
  <c r="W26" i="86"/>
  <c r="W29" i="86"/>
  <c r="W33" i="86"/>
  <c r="W21" i="84"/>
  <c r="W25" i="84"/>
  <c r="W30" i="84"/>
  <c r="W20" i="84"/>
  <c r="W24" i="84"/>
  <c r="W29" i="84"/>
  <c r="W31" i="84"/>
  <c r="W33" i="84"/>
  <c r="W35" i="84"/>
  <c r="W19" i="84"/>
  <c r="W19" i="73"/>
  <c r="Q39" i="72"/>
  <c r="D15" i="72"/>
  <c r="E14" i="72"/>
  <c r="B78" i="52"/>
  <c r="K30" i="52"/>
  <c r="M30" i="52" s="1"/>
  <c r="K31" i="52"/>
  <c r="M31" i="52" s="1"/>
  <c r="K32" i="52"/>
  <c r="M32" i="52"/>
  <c r="K33" i="52"/>
  <c r="M33" i="52" s="1"/>
  <c r="K34" i="52"/>
  <c r="M34" i="52" s="1"/>
  <c r="K35" i="52"/>
  <c r="M35" i="52" s="1"/>
  <c r="K36" i="52"/>
  <c r="M36" i="52" s="1"/>
  <c r="K37" i="52"/>
  <c r="M37" i="52" s="1"/>
  <c r="K38" i="52"/>
  <c r="M38" i="52" s="1"/>
  <c r="K39" i="52"/>
  <c r="M39" i="52" s="1"/>
  <c r="K40" i="52"/>
  <c r="M40" i="52" s="1"/>
  <c r="K41" i="52"/>
  <c r="M41" i="52" s="1"/>
  <c r="K42" i="52"/>
  <c r="M42" i="52" s="1"/>
  <c r="K43" i="52"/>
  <c r="M43" i="52" s="1"/>
  <c r="K44" i="52"/>
  <c r="M44" i="52" s="1"/>
  <c r="K45" i="52"/>
  <c r="M45" i="52" s="1"/>
  <c r="K46" i="52"/>
  <c r="M46" i="52" s="1"/>
  <c r="K47" i="52"/>
  <c r="M47" i="52" s="1"/>
  <c r="K48" i="52"/>
  <c r="M48" i="52" s="1"/>
  <c r="K49" i="52"/>
  <c r="M49" i="52" s="1"/>
  <c r="K50" i="52"/>
  <c r="M50" i="52" s="1"/>
  <c r="K51" i="52"/>
  <c r="M51" i="52" s="1"/>
  <c r="K52" i="52"/>
  <c r="M52" i="52" s="1"/>
  <c r="K53" i="52"/>
  <c r="M53" i="52" s="1"/>
  <c r="K54" i="52"/>
  <c r="M54" i="52" s="1"/>
  <c r="K55" i="52"/>
  <c r="M55" i="52" s="1"/>
  <c r="K56" i="52"/>
  <c r="M56" i="52" s="1"/>
  <c r="K57" i="52"/>
  <c r="M57" i="52" s="1"/>
  <c r="K58" i="52"/>
  <c r="M58" i="52" s="1"/>
  <c r="K59" i="52"/>
  <c r="M59" i="52" s="1"/>
  <c r="K60" i="52"/>
  <c r="M60" i="52" s="1"/>
  <c r="K61" i="52"/>
  <c r="M61" i="52" s="1"/>
  <c r="K62" i="52"/>
  <c r="M62" i="52" s="1"/>
  <c r="K63" i="52"/>
  <c r="M63" i="52" s="1"/>
  <c r="K64" i="52"/>
  <c r="M64" i="52" s="1"/>
  <c r="K65" i="52"/>
  <c r="M65" i="52" s="1"/>
  <c r="K66" i="52"/>
  <c r="M66" i="52" s="1"/>
  <c r="K67" i="52"/>
  <c r="M67" i="52" s="1"/>
  <c r="K68" i="52"/>
  <c r="M68" i="52" s="1"/>
  <c r="K69" i="52"/>
  <c r="M69" i="52" s="1"/>
  <c r="K70" i="52"/>
  <c r="M70" i="52" s="1"/>
  <c r="K71" i="52"/>
  <c r="M71" i="52" s="1"/>
  <c r="K29" i="52"/>
  <c r="E30" i="52"/>
  <c r="E31" i="52"/>
  <c r="E32" i="52"/>
  <c r="E33" i="52"/>
  <c r="E34" i="52"/>
  <c r="E35" i="52"/>
  <c r="E36" i="52"/>
  <c r="E37" i="52"/>
  <c r="E38" i="52"/>
  <c r="E39" i="52"/>
  <c r="E40" i="52"/>
  <c r="E41" i="52"/>
  <c r="E42" i="52"/>
  <c r="E43" i="52"/>
  <c r="E44" i="52"/>
  <c r="E45" i="52"/>
  <c r="E46" i="52"/>
  <c r="E47" i="52"/>
  <c r="E48" i="52"/>
  <c r="E49" i="52"/>
  <c r="E50" i="52"/>
  <c r="E51" i="52"/>
  <c r="E52" i="52"/>
  <c r="E53" i="52"/>
  <c r="E54" i="52"/>
  <c r="E55" i="52"/>
  <c r="E56" i="52"/>
  <c r="E57" i="52"/>
  <c r="E58" i="52"/>
  <c r="E59" i="52"/>
  <c r="E60" i="52"/>
  <c r="E61" i="52"/>
  <c r="E62" i="52"/>
  <c r="E63" i="52"/>
  <c r="E64" i="52"/>
  <c r="E65" i="52"/>
  <c r="E66" i="52"/>
  <c r="E67" i="52"/>
  <c r="E68" i="52"/>
  <c r="E69" i="52"/>
  <c r="E70" i="52"/>
  <c r="E71" i="52"/>
  <c r="E29" i="52"/>
  <c r="AB19" i="72" l="1"/>
  <c r="AC19" i="72"/>
  <c r="AA19" i="72"/>
  <c r="R46" i="72"/>
  <c r="Q46" i="72"/>
  <c r="X44" i="72"/>
  <c r="Y44" i="72" s="1"/>
  <c r="X43" i="72"/>
  <c r="Y43" i="72" s="1"/>
  <c r="U39" i="72"/>
  <c r="V39" i="72"/>
  <c r="R39" i="72"/>
  <c r="P39" i="72"/>
  <c r="O39" i="72"/>
  <c r="N39" i="72"/>
  <c r="M39" i="72"/>
  <c r="E6" i="72"/>
  <c r="W19" i="72" l="1"/>
  <c r="P87" i="52"/>
  <c r="P89" i="52" s="1"/>
  <c r="F84" i="52"/>
  <c r="J74" i="52"/>
  <c r="I74" i="52"/>
  <c r="H74" i="52"/>
  <c r="M29" i="52"/>
  <c r="M2" i="52"/>
  <c r="M74" i="52" l="1"/>
  <c r="B77" i="52" a="1"/>
  <c r="B77" i="52" l="1"/>
  <c r="E3" i="1" l="1"/>
  <c r="E35" i="1" l="1"/>
  <c r="F35" i="1"/>
  <c r="D35" i="1"/>
  <c r="F19" i="4" l="1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" i="4"/>
  <c r="A18" i="1" l="1"/>
  <c r="A17" i="1"/>
  <c r="D3" i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<sst xmlns="http://schemas.openxmlformats.org/spreadsheetml/2006/main" count="2505" uniqueCount="282">
  <si>
    <t>PACKING LIST</t>
  </si>
  <si>
    <t>Term payment:</t>
  </si>
  <si>
    <t xml:space="preserve">Consignee : </t>
  </si>
  <si>
    <t xml:space="preserve">Buyer  :   </t>
  </si>
  <si>
    <t xml:space="preserve">Notify : </t>
  </si>
  <si>
    <t>Actual manufacturer :</t>
  </si>
  <si>
    <t>PORT OF DEPARTURE:</t>
  </si>
  <si>
    <t>Other references</t>
  </si>
  <si>
    <t xml:space="preserve">Country of origin: </t>
  </si>
  <si>
    <t xml:space="preserve">Departure date : </t>
  </si>
  <si>
    <t>Term of delivery and payment:</t>
  </si>
  <si>
    <t xml:space="preserve">TO/ DESTINATION   :       </t>
  </si>
  <si>
    <t>Shipping marks :</t>
  </si>
  <si>
    <t>No. &amp; kind of pkgs : Good description</t>
  </si>
  <si>
    <t>Quantity</t>
  </si>
  <si>
    <t>Gross weight</t>
  </si>
  <si>
    <t>Measurement</t>
  </si>
  <si>
    <t xml:space="preserve">PACKING INSTRUCTIONS: FOLD PACKED               </t>
  </si>
  <si>
    <t xml:space="preserve">* WE HEREBY CERTIFY THAT EACH CARTON IS MARKED ON THE OUTSIDE WITH AT MINIMUM THE </t>
  </si>
  <si>
    <t xml:space="preserve">CORRESPONDING  PURCHASE ORDER NUMBER, STYLE, SIZE(S), AND COLORS CONTAINED IN THE CARTON, NET AND </t>
  </si>
  <si>
    <t xml:space="preserve">GROSS WEIGHT AND CUBIC MEASUREMENTS, AS WELL AS ANY OTHER MARKINGS REQUIRED BY CORRESPONDING </t>
  </si>
  <si>
    <t xml:space="preserve">PURCHASE ORDER. </t>
  </si>
  <si>
    <t xml:space="preserve"> THIS IS CERTIFY THAT THE NAME OF MANUFACTURER DOES NOT APPEAR ON THE CARTONS AND THAT NO </t>
  </si>
  <si>
    <t xml:space="preserve">IRREGULAR CARTONS HAVE BEEN SHIPPED. </t>
  </si>
  <si>
    <t>*PACKING DETAILS AS PER ATTACHED SHEET</t>
  </si>
  <si>
    <t>SIGNED BY:</t>
  </si>
  <si>
    <t>Units/case</t>
  </si>
  <si>
    <t>S</t>
  </si>
  <si>
    <t>M</t>
  </si>
  <si>
    <t>L</t>
  </si>
  <si>
    <t>XL</t>
  </si>
  <si>
    <t>TOT CTNS</t>
  </si>
  <si>
    <t>TOT PCS</t>
  </si>
  <si>
    <t>TOTAL</t>
  </si>
  <si>
    <t>SCAVI HUE COMPANY</t>
  </si>
  <si>
    <t>PHONG DIEN INDUSTRIAL ZONE, PHONG DIEN DISTRICT</t>
  </si>
  <si>
    <t>THUA THIEN HUE PROVINCE,  VIETNAM</t>
  </si>
  <si>
    <t>SUPREME MUNSINGWEAR CANADA INC.</t>
  </si>
  <si>
    <t>CANADA</t>
  </si>
  <si>
    <t>1938 AVENUE RD - 2ND FLOOR, ONTARIO, TORONTO, M5M 4A1</t>
  </si>
  <si>
    <t>PEI VIETNAM OFFICE</t>
  </si>
  <si>
    <t xml:space="preserve">F12, 24C Phan Dang Luu Street, Ward 06, Binh Thanh District, </t>
  </si>
  <si>
    <t>Ho Chi Minh, 70000, VIETNAM</t>
  </si>
  <si>
    <t>PEI</t>
  </si>
  <si>
    <t>STYLE#:</t>
  </si>
  <si>
    <t>P.O.:</t>
  </si>
  <si>
    <t>N.W.: KGS</t>
  </si>
  <si>
    <t>G.W.: KGS</t>
  </si>
  <si>
    <t>CARTON DIMENSION: INCH</t>
  </si>
  <si>
    <t>SIZE</t>
  </si>
  <si>
    <t>QTY</t>
  </si>
  <si>
    <t xml:space="preserve">COLOR NAME/ CODE: </t>
  </si>
  <si>
    <t>VIETNAM</t>
  </si>
  <si>
    <t>FOB</t>
  </si>
  <si>
    <t>VANCOUVER, BC</t>
  </si>
  <si>
    <t>YM INITIATIVE 283N</t>
  </si>
  <si>
    <t>TORONTO, ON</t>
  </si>
  <si>
    <t>03SU2932</t>
  </si>
  <si>
    <t>NESSC318</t>
  </si>
  <si>
    <t>xs</t>
  </si>
  <si>
    <t>NESSC320</t>
  </si>
  <si>
    <t>NESSC328</t>
  </si>
  <si>
    <t>NESSC329</t>
  </si>
  <si>
    <t>NESSC330</t>
  </si>
  <si>
    <t>NESSC332</t>
  </si>
  <si>
    <t>F2526-SCAVI HUE COMPANY</t>
  </si>
  <si>
    <t>PHONG DIEN INDUSTRIAL ZONE,</t>
  </si>
  <si>
    <t>PHONG DIEN TOWN, PHONG DIEN DISTRICT, PHONG DIEN, 530000</t>
  </si>
  <si>
    <t>44.45x39.37x15.24</t>
  </si>
  <si>
    <t>44.45x39.37x16.51</t>
  </si>
  <si>
    <t>44.45x39.37x21.59</t>
  </si>
  <si>
    <t>49.53x43.18x22.86</t>
  </si>
  <si>
    <t>49.53x48.26x25.4</t>
  </si>
  <si>
    <t>49.53x48.26x21.59</t>
  </si>
  <si>
    <t>53.34x48.26x21.59</t>
  </si>
  <si>
    <t>54.61x45.72x15.24</t>
  </si>
  <si>
    <t>54.61x48.26x25.4</t>
  </si>
  <si>
    <t>59.69x39.37x15.24</t>
  </si>
  <si>
    <t>59.69x39.37x16.51</t>
  </si>
  <si>
    <t>59.69x43.18x19.05</t>
  </si>
  <si>
    <t>59.69x45.72x22.86</t>
  </si>
  <si>
    <t>59.69x48.26x22.86</t>
  </si>
  <si>
    <t>68.58x48.26x26.67</t>
  </si>
  <si>
    <t>68.58x48.26x21.59</t>
  </si>
  <si>
    <t>71.12x48.26x27.94</t>
  </si>
  <si>
    <t>71.12x48.26x22.86</t>
  </si>
  <si>
    <t>71.12x48.26x24.13</t>
  </si>
  <si>
    <t>17.5*15.5*6"</t>
  </si>
  <si>
    <t>17.5*15.5*6.5"</t>
  </si>
  <si>
    <t>17.5*15.5*8.5"</t>
  </si>
  <si>
    <t>19.5*17*9"</t>
  </si>
  <si>
    <t>19.5*19*10</t>
  </si>
  <si>
    <t>19.5*19*8.5</t>
  </si>
  <si>
    <t>21*19*8.5 "</t>
  </si>
  <si>
    <t>21.5*18*6"</t>
  </si>
  <si>
    <t>21.5*19*10"</t>
  </si>
  <si>
    <t>23.5*15.5*6"</t>
  </si>
  <si>
    <t>23.5*15.5*6.5"</t>
  </si>
  <si>
    <t>23.5*17*7.5"</t>
  </si>
  <si>
    <t>23.5*18*9"</t>
  </si>
  <si>
    <t>23.5*19*9"</t>
  </si>
  <si>
    <t>27*19*10.5"</t>
  </si>
  <si>
    <t>27*19*8.5"</t>
  </si>
  <si>
    <t>28*19*11</t>
  </si>
  <si>
    <t>28*19*9</t>
  </si>
  <si>
    <t>28*19*9.5</t>
  </si>
  <si>
    <t>SWIMWEAR</t>
  </si>
  <si>
    <t>PO</t>
  </si>
  <si>
    <t>COMMERCIAL INVOICE</t>
  </si>
  <si>
    <t>Shipper:</t>
  </si>
  <si>
    <t>Invoice No. and date:</t>
  </si>
  <si>
    <t>Method of Payment:</t>
  </si>
  <si>
    <t>By Trade Card</t>
  </si>
  <si>
    <t>Consignee:</t>
  </si>
  <si>
    <t>Buyer (if other than consignee):</t>
  </si>
  <si>
    <t>Same as consignee</t>
  </si>
  <si>
    <t>Notify Party:</t>
  </si>
  <si>
    <t>Other references:</t>
  </si>
  <si>
    <t>Final Destination:</t>
  </si>
  <si>
    <t>Actual manufacturer</t>
  </si>
  <si>
    <r>
      <rPr>
        <b/>
        <sz val="8.5"/>
        <rFont val="Arial"/>
        <family val="2"/>
      </rPr>
      <t xml:space="preserve">Departure date: </t>
    </r>
    <r>
      <rPr>
        <sz val="8.5"/>
        <rFont val="Arial"/>
        <family val="2"/>
      </rPr>
      <t xml:space="preserve"> </t>
    </r>
  </si>
  <si>
    <t>From:</t>
  </si>
  <si>
    <t>DA NANG PORT</t>
  </si>
  <si>
    <t>M.I.D. CODE</t>
  </si>
  <si>
    <t>Vessel:</t>
  </si>
  <si>
    <t xml:space="preserve">To: </t>
  </si>
  <si>
    <t>Term of delivery :</t>
  </si>
  <si>
    <t>FOB VIETNAM</t>
  </si>
  <si>
    <t>BL NO.:</t>
  </si>
  <si>
    <t>KGS</t>
  </si>
  <si>
    <t>TTL:</t>
  </si>
  <si>
    <t>*WE HEREBY CERTIFY THAT THE FABRIC IS PIECE DYED AND THERE IS SOLID COLOR  IN THE WARP AND FILLINGS.</t>
  </si>
  <si>
    <t>* WE HEREBY CERTIFY THAT CONCERNED SHIPMENT DOES NOT CONTAIN SOLID WOOD PACKAGING MATERIALS.</t>
  </si>
  <si>
    <t>*TOTAL NET NET WEIGHT:</t>
  </si>
  <si>
    <t>*TOTAL NET WEIGHT:</t>
  </si>
  <si>
    <t>*TOTAL GROSS WEIGHT:</t>
  </si>
  <si>
    <t>*TOTAL MEASUREMENT:</t>
  </si>
  <si>
    <t>M3</t>
  </si>
  <si>
    <t>*WE HEREBY CERTIFY THAT MERCHANDISE COVERED BY THIS INVOICE HAS BEEN LABELED IN ACCORDANCE</t>
  </si>
  <si>
    <t xml:space="preserve"> WITH UNITED STATES OF AMERICA GOVERNMENT REGULATIONS. </t>
  </si>
  <si>
    <t>Signed by</t>
  </si>
  <si>
    <t>* WE CERTIFY THAT ALL STATEMENTS INDICATED ARE TRUE AND CORRECT</t>
  </si>
  <si>
    <t xml:space="preserve">DIVISION CODE: </t>
  </si>
  <si>
    <t>TAX</t>
  </si>
  <si>
    <t xml:space="preserve">SAY TOTAL  US DOLLARS </t>
  </si>
  <si>
    <t>XXL</t>
  </si>
  <si>
    <t>Reference</t>
  </si>
  <si>
    <t xml:space="preserve">Color </t>
  </si>
  <si>
    <t>Carton</t>
  </si>
  <si>
    <t>DONG FANG FU 2420N</t>
  </si>
  <si>
    <t>Composision</t>
  </si>
  <si>
    <t>B'LAO SPORT COMPANY LIMITED</t>
  </si>
  <si>
    <t xml:space="preserve">Lot CN 37B, Zone C, Phong Dien Industrial Zone, </t>
  </si>
  <si>
    <t>Phong Thu Ward, Phong Dien Town, Hue City, Vietnam</t>
  </si>
  <si>
    <t>GIRL</t>
  </si>
  <si>
    <t>GENDER</t>
  </si>
  <si>
    <t>SUPREME INTERNATIONAL, LLC</t>
  </si>
  <si>
    <t>3000 NW 107TH AVENUE</t>
  </si>
  <si>
    <t>DORAL, FL 33172</t>
  </si>
  <si>
    <t>UNITED STATES OF AMERICA</t>
  </si>
  <si>
    <t xml:space="preserve">SINGAPORE UNISERVE EGDC, UNISERVE EDGC SINGAPORE , </t>
  </si>
  <si>
    <t>27 Greenwich Drive, #1M,OFC-
#02-0, WHS, SINGAPORE, 533912, SINGAPORE</t>
  </si>
  <si>
    <t>SWM</t>
  </si>
  <si>
    <t>SINGAPORE</t>
  </si>
  <si>
    <t>Carton Small</t>
  </si>
  <si>
    <t>6X</t>
  </si>
  <si>
    <t>Unit price (USD)</t>
  </si>
  <si>
    <t>Amount (USD )</t>
  </si>
  <si>
    <t>ISSUE TO :</t>
  </si>
  <si>
    <t>STYLE:</t>
  </si>
  <si>
    <t>LABEL</t>
  </si>
  <si>
    <t>PCS</t>
  </si>
  <si>
    <t>SIZES</t>
  </si>
  <si>
    <t>PAYMENT: T/C</t>
  </si>
  <si>
    <t>MADE IN</t>
  </si>
  <si>
    <t>PO NO:</t>
  </si>
  <si>
    <t>C# UP</t>
  </si>
  <si>
    <t>CUSTOMER PO.:</t>
  </si>
  <si>
    <t>INVOICE NO:</t>
  </si>
  <si>
    <t>Detail Breakdown</t>
  </si>
  <si>
    <t>CASE FROM-TO</t>
  </si>
  <si>
    <t>Style</t>
  </si>
  <si>
    <t>REMARKS</t>
  </si>
  <si>
    <t>Color Name</t>
  </si>
  <si>
    <t>Color code</t>
  </si>
  <si>
    <t>NW</t>
  </si>
  <si>
    <t>GW</t>
  </si>
  <si>
    <t>TTL GW</t>
  </si>
  <si>
    <t>TTL NW</t>
  </si>
  <si>
    <t>ODD CARTON</t>
  </si>
  <si>
    <t>Small box</t>
  </si>
  <si>
    <t>CUSTOMER PO</t>
  </si>
  <si>
    <t>Color</t>
  </si>
  <si>
    <t>Color Code</t>
  </si>
  <si>
    <t>Master box 4-5</t>
  </si>
  <si>
    <t>Master box 9-10</t>
  </si>
  <si>
    <t>CO FORM</t>
  </si>
  <si>
    <t>GIRL/MISSY- KNIT-SWIMWEAR</t>
  </si>
  <si>
    <t>Master box</t>
  </si>
  <si>
    <t>Master box 11-12</t>
  </si>
  <si>
    <t>Master box 1-3</t>
  </si>
  <si>
    <t>Master box 5-8</t>
  </si>
  <si>
    <t>Master box 31-32</t>
  </si>
  <si>
    <t>CARTON SIZE ( CM)</t>
  </si>
  <si>
    <t>YM HORIZON 413S</t>
  </si>
  <si>
    <t>AJ916</t>
  </si>
  <si>
    <t>DV10</t>
  </si>
  <si>
    <t>DV6</t>
  </si>
  <si>
    <t>DV7</t>
  </si>
  <si>
    <t>EQ349</t>
  </si>
  <si>
    <t>EV154</t>
  </si>
  <si>
    <t>EV161</t>
  </si>
  <si>
    <t>FK245</t>
  </si>
  <si>
    <t>GU113</t>
  </si>
  <si>
    <t>GU117</t>
  </si>
  <si>
    <t>SZ514</t>
  </si>
  <si>
    <t>WH88</t>
  </si>
  <si>
    <t>WH96</t>
  </si>
  <si>
    <t>XL102</t>
  </si>
  <si>
    <t>NESSG277</t>
  </si>
  <si>
    <t>BLACK</t>
  </si>
  <si>
    <t>NESSG278</t>
  </si>
  <si>
    <t>NESSB711</t>
  </si>
  <si>
    <t>DESERT PINK</t>
  </si>
  <si>
    <t>ENERGY</t>
  </si>
  <si>
    <t>NESSG730</t>
  </si>
  <si>
    <t>NESSG758</t>
  </si>
  <si>
    <t>NESSG280</t>
  </si>
  <si>
    <t>NESSG410</t>
  </si>
  <si>
    <t>MIDNIGHT NAVY</t>
  </si>
  <si>
    <t>NESSG729</t>
  </si>
  <si>
    <t>001 BLACK</t>
  </si>
  <si>
    <t>001</t>
  </si>
  <si>
    <t>DETAIL BREAKDOWN - By MASTER BOX</t>
  </si>
  <si>
    <t>PO#</t>
  </si>
  <si>
    <t>CTNS:</t>
  </si>
  <si>
    <t>STYLE</t>
  </si>
  <si>
    <t>COLOR</t>
  </si>
  <si>
    <t>COLOR CODE</t>
  </si>
  <si>
    <t>CASE FROM- TO</t>
  </si>
  <si>
    <t>DIM</t>
  </si>
  <si>
    <t>PACKING LIST - By MASTER BOX</t>
  </si>
  <si>
    <t>SUMMARY BREAKDOWN</t>
  </si>
  <si>
    <t xml:space="preserve"> Carton Specs &amp; Shipment Specs :</t>
  </si>
  <si>
    <t>Purchase Order:</t>
  </si>
  <si>
    <t>GRAND TOTAL</t>
  </si>
  <si>
    <t>Total cartons:</t>
  </si>
  <si>
    <t>Total Gross Wt:(kgs)</t>
  </si>
  <si>
    <t>Total Net Wt:(kgs)</t>
  </si>
  <si>
    <t>Total Net Net Wt:(kgs)</t>
  </si>
  <si>
    <t>Empty carton Wt</t>
  </si>
  <si>
    <t>CMB:</t>
  </si>
  <si>
    <t xml:space="preserve">Carton Dimensions:  </t>
  </si>
  <si>
    <t>CM</t>
  </si>
  <si>
    <t>TOTAL:</t>
  </si>
  <si>
    <t>GRAND TOTAL:</t>
  </si>
  <si>
    <t>Master box 15-16</t>
  </si>
  <si>
    <t>655 DESERT PINK</t>
  </si>
  <si>
    <t>655</t>
  </si>
  <si>
    <t>Master box 45-46</t>
  </si>
  <si>
    <t>Master box 3-4</t>
  </si>
  <si>
    <t>385 ENERGY</t>
  </si>
  <si>
    <t>385</t>
  </si>
  <si>
    <t>Master box 26-27</t>
  </si>
  <si>
    <t>Master box 14-16</t>
  </si>
  <si>
    <t>Master box 21-22</t>
  </si>
  <si>
    <t>Master box 27-28</t>
  </si>
  <si>
    <t>440 MIDNIGHT NAVY</t>
  </si>
  <si>
    <t>440</t>
  </si>
  <si>
    <t>43.18*41.91*7.62</t>
  </si>
  <si>
    <t>44.45*44.45*8.89</t>
  </si>
  <si>
    <t>Master box 6-8</t>
  </si>
  <si>
    <t>Master box 11-13</t>
  </si>
  <si>
    <t>Master box 14-15</t>
  </si>
  <si>
    <t>Master box 16-18</t>
  </si>
  <si>
    <t>Master box 19-20</t>
  </si>
  <si>
    <t>Master box 21-23</t>
  </si>
  <si>
    <t>Master box 24-25</t>
  </si>
  <si>
    <t>Master box 5-6</t>
  </si>
  <si>
    <t>Master box 17-18</t>
  </si>
  <si>
    <t>Master box 19-22</t>
  </si>
  <si>
    <t>Master box 23-26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</si>
</sst>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[$-409]d\-mmm\-yyyy;@"/>
    <numFmt numFmtId="166" formatCode="[$-409]mmmm\ d\,\ yyyy;@"/>
    <numFmt numFmtId="167" formatCode="_-* #,##0.00\ _F_B_-;\-* #,##0.00\ _F_B_-;_-* &quot;-&quot;??\ _F_B_-;_-@_-"/>
    <numFmt numFmtId="168" formatCode="_-* #,##0.00_-;\-* #,##0.00_-;_-* \-??_-;_-@_-"/>
    <numFmt numFmtId="169" formatCode="_-* #,##0_-;\-* #,##0_-;_-* \-??_-;_-@_-"/>
    <numFmt numFmtId="170" formatCode="_-* #,##0.000_-;\-* #,##0.000_-;_-* \-??_-;_-@_-"/>
    <numFmt numFmtId="171" formatCode="#,##0&quot;CTNS&quot;"/>
    <numFmt numFmtId="172" formatCode="[$-F800]dddd\,\ mmmm\ dd\,\ yyyy"/>
    <numFmt numFmtId="173" formatCode="#,##0.0"/>
    <numFmt numFmtId="178" formatCode="0.000"/>
    <numFmt numFmtId="180" formatCode="0.0"/>
  </numFmts>
  <fonts count="46">
    <font>
      <sz val="11"/>
      <name val="VNtimes new roman"/>
    </font>
    <font>
      <sz val="11"/>
      <name val="VNtimes new roman"/>
      <family val="2"/>
    </font>
    <font>
      <b/>
      <sz val="11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sz val="10"/>
      <color rgb="FF000000"/>
      <name val="Arial"/>
      <family val="2"/>
    </font>
    <font>
      <sz val="12"/>
      <color rgb="FFFF0000"/>
      <name val="Times New Roman"/>
      <family val="1"/>
    </font>
    <font>
      <sz val="10"/>
      <name val="VNtimes new roman"/>
      <family val="2"/>
    </font>
    <font>
      <b/>
      <sz val="20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sz val="8"/>
      <name val="Arial"/>
      <family val="2"/>
    </font>
    <font>
      <sz val="8.5"/>
      <color theme="0"/>
      <name val="Arial"/>
      <family val="2"/>
    </font>
    <font>
      <sz val="11"/>
      <name val="VNlucida Bright"/>
      <family val="1"/>
    </font>
    <font>
      <sz val="10"/>
      <name val="Mangal"/>
      <family val="2"/>
    </font>
    <font>
      <sz val="10"/>
      <color indexed="8"/>
      <name val="Arial"/>
      <family val="2"/>
    </font>
    <font>
      <sz val="8"/>
      <name val="Courier New"/>
      <family val="3"/>
    </font>
    <font>
      <sz val="11"/>
      <name val="VNtimes new roman"/>
    </font>
    <font>
      <b/>
      <u/>
      <sz val="20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name val="Calibri Light"/>
      <family val="1"/>
      <scheme val="major"/>
    </font>
    <font>
      <sz val="16"/>
      <name val="Times New Roman"/>
      <family val="1"/>
    </font>
    <font>
      <sz val="16"/>
      <color theme="1"/>
      <name val="Times New Roman"/>
      <family val="1"/>
    </font>
    <font>
      <sz val="12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 applyFill="0"/>
    <xf numFmtId="0" fontId="16" fillId="0" borderId="0"/>
    <xf numFmtId="0" fontId="16" fillId="0" borderId="0"/>
    <xf numFmtId="0" fontId="18" fillId="0" borderId="0"/>
    <xf numFmtId="168" fontId="18" fillId="0" borderId="0" applyFill="0" applyBorder="0" applyAlignment="0" applyProtection="0"/>
    <xf numFmtId="0" fontId="24" fillId="0" borderId="0">
      <alignment vertical="center"/>
    </xf>
    <xf numFmtId="168" fontId="25" fillId="0" borderId="0" applyFill="0" applyBorder="0" applyAlignment="0" applyProtection="0"/>
    <xf numFmtId="172" fontId="6" fillId="0" borderId="0"/>
    <xf numFmtId="0" fontId="26" fillId="0" borderId="0"/>
    <xf numFmtId="44" fontId="28" fillId="0" borderId="0" applyFont="0" applyFill="0" applyBorder="0" applyAlignment="0" applyProtection="0"/>
  </cellStyleXfs>
  <cellXfs count="37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2" fontId="4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165" fontId="4" fillId="0" borderId="14" xfId="2" applyNumberFormat="1" applyFont="1" applyBorder="1" applyAlignment="1">
      <alignment horizontal="center" shrinkToFit="1"/>
    </xf>
    <xf numFmtId="0" fontId="4" fillId="0" borderId="15" xfId="0" applyFont="1" applyBorder="1" applyAlignment="1">
      <alignment horizontal="left" vertical="center"/>
    </xf>
    <xf numFmtId="164" fontId="4" fillId="0" borderId="16" xfId="1" applyNumberFormat="1" applyFont="1" applyBorder="1" applyAlignment="1">
      <alignment vertical="center"/>
    </xf>
    <xf numFmtId="2" fontId="4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4" fillId="0" borderId="11" xfId="0" applyFont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0" fontId="4" fillId="0" borderId="19" xfId="0" applyFont="1" applyBorder="1" applyAlignment="1">
      <alignment vertical="center" shrinkToFit="1"/>
    </xf>
    <xf numFmtId="164" fontId="4" fillId="0" borderId="16" xfId="1" applyNumberFormat="1" applyFont="1" applyBorder="1" applyAlignment="1">
      <alignment horizontal="center" vertical="center"/>
    </xf>
    <xf numFmtId="0" fontId="4" fillId="0" borderId="24" xfId="0" applyFont="1" applyBorder="1" applyAlignment="1">
      <alignment vertical="center" shrinkToFit="1"/>
    </xf>
    <xf numFmtId="166" fontId="4" fillId="2" borderId="16" xfId="0" applyNumberFormat="1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center" vertical="center" shrinkToFit="1"/>
    </xf>
    <xf numFmtId="0" fontId="4" fillId="0" borderId="16" xfId="0" applyFont="1" applyBorder="1" applyAlignment="1">
      <alignment vertical="center"/>
    </xf>
    <xf numFmtId="164" fontId="4" fillId="0" borderId="16" xfId="1" applyNumberFormat="1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7" fillId="2" borderId="0" xfId="0" applyNumberFormat="1" applyFont="1" applyFill="1" applyAlignment="1">
      <alignment horizontal="left" vertical="center"/>
    </xf>
    <xf numFmtId="0" fontId="8" fillId="2" borderId="11" xfId="0" applyFont="1" applyFill="1" applyBorder="1" applyAlignment="1">
      <alignment horizontal="center" vertical="center" shrinkToFit="1"/>
    </xf>
    <xf numFmtId="164" fontId="4" fillId="0" borderId="0" xfId="1" applyNumberFormat="1" applyFont="1" applyFill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25" xfId="0" applyFont="1" applyBorder="1" applyAlignment="1">
      <alignment horizontal="left" vertical="center" shrinkToFit="1"/>
    </xf>
    <xf numFmtId="0" fontId="7" fillId="0" borderId="0" xfId="0" applyFont="1" applyAlignment="1">
      <alignment vertical="center"/>
    </xf>
    <xf numFmtId="3" fontId="4" fillId="0" borderId="0" xfId="3" applyNumberFormat="1" applyFont="1" applyAlignment="1">
      <alignment horizontal="center" vertical="center"/>
    </xf>
    <xf numFmtId="43" fontId="8" fillId="0" borderId="0" xfId="1" applyFont="1" applyBorder="1" applyAlignment="1">
      <alignment vertical="center"/>
    </xf>
    <xf numFmtId="164" fontId="7" fillId="0" borderId="20" xfId="1" applyNumberFormat="1" applyFont="1" applyBorder="1" applyAlignment="1">
      <alignment horizontal="center"/>
    </xf>
    <xf numFmtId="0" fontId="9" fillId="0" borderId="25" xfId="0" applyFont="1" applyBorder="1"/>
    <xf numFmtId="0" fontId="9" fillId="0" borderId="0" xfId="0" applyFont="1"/>
    <xf numFmtId="0" fontId="7" fillId="0" borderId="0" xfId="0" applyFont="1" applyAlignment="1">
      <alignment horizontal="center" shrinkToFit="1"/>
    </xf>
    <xf numFmtId="43" fontId="7" fillId="0" borderId="0" xfId="1" applyFont="1" applyBorder="1" applyAlignment="1">
      <alignment horizontal="center"/>
    </xf>
    <xf numFmtId="164" fontId="9" fillId="0" borderId="7" xfId="1" applyNumberFormat="1" applyFont="1" applyBorder="1"/>
    <xf numFmtId="1" fontId="7" fillId="0" borderId="0" xfId="0" applyNumberFormat="1" applyFont="1" applyAlignment="1">
      <alignment horizontal="center"/>
    </xf>
    <xf numFmtId="0" fontId="9" fillId="0" borderId="0" xfId="0" applyFont="1" applyAlignment="1">
      <alignment shrinkToFit="1"/>
    </xf>
    <xf numFmtId="164" fontId="9" fillId="0" borderId="20" xfId="1" applyNumberFormat="1" applyFont="1" applyBorder="1"/>
    <xf numFmtId="0" fontId="2" fillId="0" borderId="25" xfId="0" applyFont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64" fontId="11" fillId="0" borderId="0" xfId="1" applyNumberFormat="1" applyFont="1" applyFill="1" applyBorder="1" applyAlignment="1">
      <alignment horizontal="left" vertical="center" wrapText="1"/>
    </xf>
    <xf numFmtId="2" fontId="11" fillId="0" borderId="20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shrinkToFit="1"/>
    </xf>
    <xf numFmtId="0" fontId="10" fillId="0" borderId="0" xfId="1" applyNumberFormat="1" applyFont="1" applyFill="1" applyBorder="1" applyAlignment="1">
      <alignment horizontal="center" vertical="center"/>
    </xf>
    <xf numFmtId="164" fontId="10" fillId="0" borderId="0" xfId="1" applyNumberFormat="1" applyFont="1" applyFill="1" applyBorder="1" applyAlignment="1">
      <alignment vertical="center"/>
    </xf>
    <xf numFmtId="2" fontId="10" fillId="0" borderId="20" xfId="1" applyNumberFormat="1" applyFont="1" applyFill="1" applyBorder="1" applyAlignment="1">
      <alignment horizontal="center" vertical="center"/>
    </xf>
    <xf numFmtId="164" fontId="10" fillId="0" borderId="0" xfId="1" applyNumberFormat="1" applyFont="1" applyFill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Border="1" applyAlignment="1">
      <alignment vertical="center"/>
    </xf>
    <xf numFmtId="2" fontId="2" fillId="0" borderId="20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8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/>
    </xf>
    <xf numFmtId="164" fontId="2" fillId="0" borderId="28" xfId="1" applyNumberFormat="1" applyFont="1" applyFill="1" applyBorder="1" applyAlignment="1">
      <alignment vertical="center"/>
    </xf>
    <xf numFmtId="2" fontId="2" fillId="0" borderId="29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164" fontId="2" fillId="0" borderId="0" xfId="1" applyNumberFormat="1" applyFont="1" applyFill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2" xfId="1" applyNumberFormat="1" applyFont="1" applyBorder="1" applyAlignment="1">
      <alignment vertical="center"/>
    </xf>
    <xf numFmtId="0" fontId="14" fillId="0" borderId="23" xfId="5" applyFont="1" applyFill="1" applyBorder="1"/>
    <xf numFmtId="0" fontId="15" fillId="0" borderId="23" xfId="5" applyFont="1" applyFill="1" applyBorder="1"/>
    <xf numFmtId="0" fontId="5" fillId="0" borderId="18" xfId="0" applyFont="1" applyBorder="1" applyAlignment="1">
      <alignment vertical="center" shrinkToFit="1"/>
    </xf>
    <xf numFmtId="0" fontId="5" fillId="0" borderId="12" xfId="0" applyFont="1" applyBorder="1" applyAlignment="1">
      <alignment horizontal="left" vertical="center"/>
    </xf>
    <xf numFmtId="164" fontId="5" fillId="0" borderId="13" xfId="1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7" fontId="5" fillId="0" borderId="20" xfId="1" applyNumberFormat="1" applyFont="1" applyBorder="1" applyAlignment="1">
      <alignment horizontal="center"/>
    </xf>
    <xf numFmtId="43" fontId="17" fillId="0" borderId="7" xfId="1" applyFont="1" applyBorder="1" applyAlignment="1">
      <alignment vertical="center"/>
    </xf>
    <xf numFmtId="0" fontId="1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43" fontId="5" fillId="0" borderId="7" xfId="1" applyFont="1" applyBorder="1" applyAlignment="1">
      <alignment vertical="center"/>
    </xf>
    <xf numFmtId="0" fontId="5" fillId="0" borderId="0" xfId="0" applyFont="1" applyAlignment="1">
      <alignment vertical="center" wrapText="1"/>
    </xf>
    <xf numFmtId="167" fontId="5" fillId="0" borderId="20" xfId="0" applyNumberFormat="1" applyFont="1" applyBorder="1" applyAlignment="1">
      <alignment horizontal="center"/>
    </xf>
    <xf numFmtId="0" fontId="9" fillId="0" borderId="25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4" fontId="5" fillId="0" borderId="20" xfId="0" applyNumberFormat="1" applyFont="1" applyBorder="1" applyAlignment="1">
      <alignment vertical="center"/>
    </xf>
    <xf numFmtId="0" fontId="6" fillId="0" borderId="0" xfId="8" applyFont="1" applyAlignment="1">
      <alignment vertical="center"/>
    </xf>
    <xf numFmtId="0" fontId="21" fillId="0" borderId="31" xfId="8" applyFont="1" applyBorder="1" applyAlignment="1">
      <alignment vertical="center"/>
    </xf>
    <xf numFmtId="0" fontId="20" fillId="0" borderId="31" xfId="8" applyFont="1" applyBorder="1" applyAlignment="1">
      <alignment vertical="center"/>
    </xf>
    <xf numFmtId="0" fontId="21" fillId="0" borderId="32" xfId="8" applyFont="1" applyBorder="1" applyAlignment="1">
      <alignment vertical="center"/>
    </xf>
    <xf numFmtId="0" fontId="20" fillId="0" borderId="33" xfId="8" applyFont="1" applyBorder="1" applyAlignment="1">
      <alignment vertical="center"/>
    </xf>
    <xf numFmtId="0" fontId="21" fillId="0" borderId="0" xfId="8" applyFont="1" applyAlignment="1">
      <alignment vertical="center"/>
    </xf>
    <xf numFmtId="0" fontId="21" fillId="0" borderId="34" xfId="8" applyFont="1" applyBorder="1" applyAlignment="1">
      <alignment vertical="center"/>
    </xf>
    <xf numFmtId="0" fontId="21" fillId="0" borderId="35" xfId="8" applyFont="1" applyBorder="1" applyAlignment="1">
      <alignment vertical="center"/>
    </xf>
    <xf numFmtId="0" fontId="21" fillId="0" borderId="36" xfId="8" applyFont="1" applyBorder="1" applyAlignment="1">
      <alignment vertical="center"/>
    </xf>
    <xf numFmtId="0" fontId="20" fillId="0" borderId="37" xfId="8" applyFont="1" applyBorder="1" applyAlignment="1">
      <alignment vertical="center"/>
    </xf>
    <xf numFmtId="0" fontId="20" fillId="0" borderId="36" xfId="8" applyFont="1" applyBorder="1" applyAlignment="1">
      <alignment vertical="center"/>
    </xf>
    <xf numFmtId="168" fontId="21" fillId="0" borderId="0" xfId="9" applyFont="1" applyFill="1" applyBorder="1" applyAlignment="1" applyProtection="1">
      <alignment horizontal="right" vertical="center"/>
    </xf>
    <xf numFmtId="168" fontId="21" fillId="0" borderId="0" xfId="9" applyFont="1" applyFill="1" applyBorder="1" applyAlignment="1" applyProtection="1">
      <alignment horizontal="center" vertical="center"/>
    </xf>
    <xf numFmtId="0" fontId="23" fillId="0" borderId="0" xfId="8" applyFont="1" applyAlignment="1">
      <alignment vertical="center"/>
    </xf>
    <xf numFmtId="0" fontId="21" fillId="0" borderId="0" xfId="8" applyFont="1" applyAlignment="1">
      <alignment horizontal="justify" vertical="center" wrapText="1"/>
    </xf>
    <xf numFmtId="43" fontId="23" fillId="0" borderId="0" xfId="8" applyNumberFormat="1" applyFont="1" applyAlignment="1">
      <alignment vertical="center"/>
    </xf>
    <xf numFmtId="169" fontId="20" fillId="0" borderId="0" xfId="9" applyNumberFormat="1" applyFont="1" applyFill="1" applyBorder="1" applyAlignment="1" applyProtection="1">
      <alignment horizontal="right" vertical="center"/>
    </xf>
    <xf numFmtId="169" fontId="20" fillId="0" borderId="0" xfId="9" applyNumberFormat="1" applyFont="1" applyFill="1" applyBorder="1" applyAlignment="1" applyProtection="1">
      <alignment horizontal="left" vertical="center"/>
    </xf>
    <xf numFmtId="4" fontId="4" fillId="0" borderId="0" xfId="3" applyNumberFormat="1" applyFont="1" applyAlignment="1">
      <alignment horizontal="center" vertical="center"/>
    </xf>
    <xf numFmtId="0" fontId="20" fillId="0" borderId="23" xfId="8" applyFont="1" applyBorder="1" applyAlignment="1">
      <alignment vertical="center"/>
    </xf>
    <xf numFmtId="0" fontId="21" fillId="0" borderId="11" xfId="8" applyFont="1" applyBorder="1" applyAlignment="1">
      <alignment vertical="center"/>
    </xf>
    <xf numFmtId="0" fontId="21" fillId="0" borderId="23" xfId="8" applyFont="1" applyBorder="1" applyAlignment="1">
      <alignment vertical="center"/>
    </xf>
    <xf numFmtId="0" fontId="21" fillId="0" borderId="12" xfId="8" applyFont="1" applyBorder="1" applyAlignment="1">
      <alignment vertical="center"/>
    </xf>
    <xf numFmtId="0" fontId="21" fillId="0" borderId="13" xfId="8" applyFont="1" applyBorder="1" applyAlignment="1">
      <alignment vertical="center"/>
    </xf>
    <xf numFmtId="0" fontId="21" fillId="0" borderId="19" xfId="8" applyFont="1" applyBorder="1" applyAlignment="1">
      <alignment vertical="center"/>
    </xf>
    <xf numFmtId="173" fontId="21" fillId="0" borderId="0" xfId="9" applyNumberFormat="1" applyFont="1" applyFill="1" applyBorder="1" applyAlignment="1" applyProtection="1">
      <alignment horizontal="right" vertical="center"/>
    </xf>
    <xf numFmtId="0" fontId="21" fillId="3" borderId="23" xfId="8" applyFont="1" applyFill="1" applyBorder="1" applyAlignment="1">
      <alignment vertical="center"/>
    </xf>
    <xf numFmtId="0" fontId="21" fillId="3" borderId="12" xfId="8" applyFont="1" applyFill="1" applyBorder="1" applyAlignment="1">
      <alignment vertical="center"/>
    </xf>
    <xf numFmtId="168" fontId="21" fillId="0" borderId="23" xfId="9" applyFont="1" applyFill="1" applyBorder="1" applyAlignment="1" applyProtection="1">
      <alignment horizontal="right" vertical="center" wrapText="1"/>
    </xf>
    <xf numFmtId="0" fontId="20" fillId="0" borderId="41" xfId="8" applyFont="1" applyBorder="1" applyAlignment="1">
      <alignment vertical="center"/>
    </xf>
    <xf numFmtId="0" fontId="13" fillId="0" borderId="7" xfId="0" quotePrefix="1" applyFont="1" applyBorder="1"/>
    <xf numFmtId="0" fontId="21" fillId="0" borderId="10" xfId="8" applyFont="1" applyBorder="1" applyAlignment="1">
      <alignment vertical="center"/>
    </xf>
    <xf numFmtId="16" fontId="21" fillId="0" borderId="42" xfId="8" applyNumberFormat="1" applyFont="1" applyBorder="1" applyAlignment="1">
      <alignment horizontal="left" vertical="center"/>
    </xf>
    <xf numFmtId="0" fontId="20" fillId="0" borderId="7" xfId="8" applyFont="1" applyBorder="1" applyAlignment="1">
      <alignment vertical="center"/>
    </xf>
    <xf numFmtId="0" fontId="20" fillId="0" borderId="10" xfId="8" applyFont="1" applyBorder="1" applyAlignment="1">
      <alignment vertical="center"/>
    </xf>
    <xf numFmtId="0" fontId="20" fillId="0" borderId="0" xfId="8" applyFont="1" applyAlignment="1">
      <alignment vertical="center"/>
    </xf>
    <xf numFmtId="0" fontId="21" fillId="0" borderId="7" xfId="8" applyFont="1" applyBorder="1" applyAlignment="1">
      <alignment vertical="center"/>
    </xf>
    <xf numFmtId="0" fontId="21" fillId="0" borderId="18" xfId="8" applyFont="1" applyBorder="1" applyAlignment="1">
      <alignment vertical="center"/>
    </xf>
    <xf numFmtId="0" fontId="20" fillId="0" borderId="43" xfId="8" applyFont="1" applyBorder="1" applyAlignment="1">
      <alignment vertical="center"/>
    </xf>
    <xf numFmtId="0" fontId="21" fillId="0" borderId="44" xfId="8" applyFont="1" applyBorder="1" applyAlignment="1">
      <alignment vertical="center"/>
    </xf>
    <xf numFmtId="15" fontId="21" fillId="0" borderId="43" xfId="8" applyNumberFormat="1" applyFont="1" applyBorder="1" applyAlignment="1">
      <alignment vertical="center"/>
    </xf>
    <xf numFmtId="0" fontId="22" fillId="0" borderId="0" xfId="8" applyFont="1" applyAlignment="1">
      <alignment vertical="center"/>
    </xf>
    <xf numFmtId="0" fontId="22" fillId="0" borderId="0" xfId="8" applyFont="1" applyAlignment="1">
      <alignment vertical="center" wrapText="1"/>
    </xf>
    <xf numFmtId="0" fontId="2" fillId="0" borderId="10" xfId="8" applyFont="1" applyBorder="1" applyAlignment="1">
      <alignment vertical="center"/>
    </xf>
    <xf numFmtId="0" fontId="2" fillId="0" borderId="0" xfId="8" applyFont="1" applyAlignment="1">
      <alignment horizontal="left" vertical="center"/>
    </xf>
    <xf numFmtId="0" fontId="2" fillId="0" borderId="0" xfId="8" applyFont="1" applyAlignment="1">
      <alignment vertical="center"/>
    </xf>
    <xf numFmtId="0" fontId="13" fillId="0" borderId="10" xfId="8" applyFont="1" applyBorder="1" applyAlignment="1">
      <alignment vertical="center"/>
    </xf>
    <xf numFmtId="0" fontId="13" fillId="0" borderId="0" xfId="8" applyFont="1" applyAlignment="1">
      <alignment horizontal="left" vertical="center"/>
    </xf>
    <xf numFmtId="0" fontId="13" fillId="0" borderId="0" xfId="8" applyFont="1" applyAlignment="1">
      <alignment vertical="center"/>
    </xf>
    <xf numFmtId="168" fontId="20" fillId="0" borderId="7" xfId="9" applyFont="1" applyFill="1" applyBorder="1" applyAlignment="1" applyProtection="1">
      <alignment vertical="center"/>
    </xf>
    <xf numFmtId="170" fontId="21" fillId="0" borderId="7" xfId="8" applyNumberFormat="1" applyFont="1" applyBorder="1" applyAlignment="1">
      <alignment horizontal="right" vertical="center"/>
    </xf>
    <xf numFmtId="170" fontId="13" fillId="0" borderId="0" xfId="8" applyNumberFormat="1" applyFont="1" applyAlignment="1">
      <alignment horizontal="right" vertical="center"/>
    </xf>
    <xf numFmtId="0" fontId="21" fillId="0" borderId="0" xfId="8" applyFont="1" applyAlignment="1">
      <alignment horizontal="left" vertical="center"/>
    </xf>
    <xf numFmtId="0" fontId="20" fillId="0" borderId="10" xfId="8" applyFont="1" applyBorder="1" applyAlignment="1">
      <alignment horizontal="left" vertical="center"/>
    </xf>
    <xf numFmtId="0" fontId="20" fillId="0" borderId="0" xfId="8" applyFont="1" applyAlignment="1">
      <alignment horizontal="left" vertical="center"/>
    </xf>
    <xf numFmtId="0" fontId="20" fillId="0" borderId="0" xfId="8" applyFont="1" applyAlignment="1">
      <alignment horizontal="right" vertical="center"/>
    </xf>
    <xf numFmtId="169" fontId="20" fillId="0" borderId="7" xfId="9" applyNumberFormat="1" applyFont="1" applyFill="1" applyBorder="1" applyAlignment="1" applyProtection="1">
      <alignment vertical="center"/>
    </xf>
    <xf numFmtId="0" fontId="20" fillId="0" borderId="10" xfId="8" applyFont="1" applyBorder="1" applyAlignment="1">
      <alignment horizontal="right" vertical="center"/>
    </xf>
    <xf numFmtId="171" fontId="20" fillId="0" borderId="0" xfId="8" applyNumberFormat="1" applyFont="1" applyAlignment="1">
      <alignment horizontal="left" vertical="center"/>
    </xf>
    <xf numFmtId="0" fontId="21" fillId="0" borderId="7" xfId="8" applyFont="1" applyBorder="1" applyAlignment="1">
      <alignment horizontal="justify" vertical="center" wrapText="1"/>
    </xf>
    <xf numFmtId="0" fontId="21" fillId="0" borderId="10" xfId="8" applyFont="1" applyBorder="1"/>
    <xf numFmtId="0" fontId="21" fillId="0" borderId="0" xfId="8" applyFont="1" applyAlignment="1">
      <alignment horizontal="left" vertical="center" wrapText="1"/>
    </xf>
    <xf numFmtId="0" fontId="21" fillId="0" borderId="7" xfId="8" applyFont="1" applyBorder="1" applyAlignment="1">
      <alignment horizontal="left" vertical="center" wrapText="1"/>
    </xf>
    <xf numFmtId="12" fontId="21" fillId="0" borderId="10" xfId="8" applyNumberFormat="1" applyFont="1" applyBorder="1"/>
    <xf numFmtId="0" fontId="21" fillId="0" borderId="0" xfId="8" applyFont="1"/>
    <xf numFmtId="0" fontId="20" fillId="0" borderId="10" xfId="8" applyFont="1" applyBorder="1"/>
    <xf numFmtId="0" fontId="20" fillId="0" borderId="46" xfId="8" applyFont="1" applyBorder="1" applyAlignment="1">
      <alignment horizontal="left" vertical="center"/>
    </xf>
    <xf numFmtId="0" fontId="21" fillId="0" borderId="28" xfId="8" applyFont="1" applyBorder="1" applyAlignment="1">
      <alignment horizontal="center" vertical="center"/>
    </xf>
    <xf numFmtId="0" fontId="20" fillId="0" borderId="7" xfId="8" applyFont="1" applyBorder="1" applyAlignment="1">
      <alignment horizontal="left" vertical="center"/>
    </xf>
    <xf numFmtId="0" fontId="20" fillId="0" borderId="47" xfId="8" applyFont="1" applyBorder="1" applyAlignment="1">
      <alignment vertical="center"/>
    </xf>
    <xf numFmtId="0" fontId="21" fillId="0" borderId="48" xfId="8" applyFont="1" applyBorder="1" applyAlignment="1">
      <alignment vertical="center"/>
    </xf>
    <xf numFmtId="0" fontId="20" fillId="0" borderId="49" xfId="8" applyFont="1" applyBorder="1" applyAlignment="1">
      <alignment vertical="center"/>
    </xf>
    <xf numFmtId="0" fontId="20" fillId="0" borderId="50" xfId="8" applyFont="1" applyBorder="1" applyAlignment="1">
      <alignment vertical="center"/>
    </xf>
    <xf numFmtId="0" fontId="21" fillId="0" borderId="51" xfId="8" applyFont="1" applyBorder="1" applyAlignment="1">
      <alignment vertical="center"/>
    </xf>
    <xf numFmtId="0" fontId="20" fillId="0" borderId="51" xfId="8" applyFont="1" applyBorder="1" applyAlignment="1">
      <alignment vertical="center"/>
    </xf>
    <xf numFmtId="0" fontId="21" fillId="0" borderId="52" xfId="8" applyFont="1" applyBorder="1" applyAlignment="1">
      <alignment vertical="center"/>
    </xf>
    <xf numFmtId="0" fontId="20" fillId="0" borderId="48" xfId="8" applyFont="1" applyBorder="1" applyAlignment="1">
      <alignment vertical="center"/>
    </xf>
    <xf numFmtId="0" fontId="21" fillId="0" borderId="49" xfId="8" applyFont="1" applyBorder="1" applyAlignment="1">
      <alignment vertical="center"/>
    </xf>
    <xf numFmtId="0" fontId="20" fillId="0" borderId="53" xfId="8" applyFont="1" applyBorder="1" applyAlignment="1">
      <alignment vertical="center"/>
    </xf>
    <xf numFmtId="0" fontId="21" fillId="0" borderId="54" xfId="8" applyFont="1" applyBorder="1" applyAlignment="1">
      <alignment vertical="center"/>
    </xf>
    <xf numFmtId="0" fontId="20" fillId="0" borderId="55" xfId="8" applyFont="1" applyBorder="1" applyAlignment="1">
      <alignment vertical="center"/>
    </xf>
    <xf numFmtId="16" fontId="20" fillId="0" borderId="48" xfId="8" applyNumberFormat="1" applyFont="1" applyBorder="1" applyAlignment="1">
      <alignment vertical="center"/>
    </xf>
    <xf numFmtId="16" fontId="21" fillId="0" borderId="48" xfId="8" applyNumberFormat="1" applyFont="1" applyBorder="1" applyAlignment="1">
      <alignment vertical="center"/>
    </xf>
    <xf numFmtId="0" fontId="2" fillId="0" borderId="56" xfId="8" applyFont="1" applyBorder="1" applyAlignment="1">
      <alignment vertical="center"/>
    </xf>
    <xf numFmtId="0" fontId="2" fillId="0" borderId="57" xfId="8" applyFont="1" applyBorder="1" applyAlignment="1">
      <alignment horizontal="left" vertical="center"/>
    </xf>
    <xf numFmtId="0" fontId="2" fillId="0" borderId="58" xfId="8" applyFont="1" applyBorder="1" applyAlignment="1">
      <alignment horizontal="left" vertical="center"/>
    </xf>
    <xf numFmtId="0" fontId="2" fillId="0" borderId="59" xfId="8" applyFont="1" applyBorder="1" applyAlignment="1">
      <alignment horizontal="left" vertical="center"/>
    </xf>
    <xf numFmtId="0" fontId="13" fillId="0" borderId="56" xfId="8" applyFont="1" applyBorder="1" applyAlignment="1">
      <alignment vertical="center"/>
    </xf>
    <xf numFmtId="0" fontId="13" fillId="0" borderId="56" xfId="8" applyFont="1" applyBorder="1" applyAlignment="1">
      <alignment horizontal="left" vertical="center"/>
    </xf>
    <xf numFmtId="0" fontId="13" fillId="0" borderId="57" xfId="8" applyFont="1" applyBorder="1" applyAlignment="1">
      <alignment horizontal="left" vertical="center"/>
    </xf>
    <xf numFmtId="0" fontId="13" fillId="0" borderId="58" xfId="8" applyFont="1" applyBorder="1" applyAlignment="1">
      <alignment horizontal="left" vertical="center"/>
    </xf>
    <xf numFmtId="0" fontId="13" fillId="0" borderId="59" xfId="8" applyFont="1" applyBorder="1" applyAlignment="1">
      <alignment horizontal="left" vertical="center"/>
    </xf>
    <xf numFmtId="0" fontId="2" fillId="0" borderId="56" xfId="8" applyFont="1" applyBorder="1" applyAlignment="1">
      <alignment horizontal="center" vertical="center"/>
    </xf>
    <xf numFmtId="0" fontId="21" fillId="0" borderId="51" xfId="8" applyFont="1" applyBorder="1" applyAlignment="1">
      <alignment horizontal="justify" vertical="center" wrapText="1"/>
    </xf>
    <xf numFmtId="0" fontId="13" fillId="0" borderId="57" xfId="8" applyFont="1" applyBorder="1" applyAlignment="1">
      <alignment vertical="center"/>
    </xf>
    <xf numFmtId="0" fontId="13" fillId="0" borderId="58" xfId="8" applyFont="1" applyBorder="1" applyAlignment="1">
      <alignment vertical="center"/>
    </xf>
    <xf numFmtId="0" fontId="13" fillId="0" borderId="59" xfId="8" applyFont="1" applyBorder="1" applyAlignment="1">
      <alignment vertical="center"/>
    </xf>
    <xf numFmtId="4" fontId="2" fillId="0" borderId="45" xfId="8" applyNumberFormat="1" applyFont="1" applyBorder="1" applyAlignment="1">
      <alignment vertical="center"/>
    </xf>
    <xf numFmtId="44" fontId="13" fillId="0" borderId="56" xfId="14" applyFont="1" applyBorder="1" applyAlignment="1">
      <alignment horizontal="right" vertical="center"/>
    </xf>
    <xf numFmtId="44" fontId="13" fillId="0" borderId="56" xfId="14" applyFont="1" applyBorder="1" applyAlignment="1">
      <alignment vertical="center"/>
    </xf>
    <xf numFmtId="0" fontId="13" fillId="0" borderId="0" xfId="6" applyFont="1"/>
    <xf numFmtId="0" fontId="13" fillId="0" borderId="0" xfId="6" applyFont="1" applyAlignment="1">
      <alignment horizontal="center"/>
    </xf>
    <xf numFmtId="0" fontId="2" fillId="0" borderId="0" xfId="6" applyFont="1"/>
    <xf numFmtId="0" fontId="13" fillId="0" borderId="0" xfId="6" applyFont="1" applyAlignment="1">
      <alignment horizontal="left"/>
    </xf>
    <xf numFmtId="0" fontId="2" fillId="0" borderId="0" xfId="6" applyFont="1" applyAlignment="1">
      <alignment horizontal="center"/>
    </xf>
    <xf numFmtId="0" fontId="2" fillId="0" borderId="56" xfId="6" applyFont="1" applyBorder="1" applyAlignment="1">
      <alignment horizontal="center" vertical="center"/>
    </xf>
    <xf numFmtId="0" fontId="2" fillId="0" borderId="56" xfId="6" applyFont="1" applyBorder="1" applyAlignment="1">
      <alignment horizontal="center"/>
    </xf>
    <xf numFmtId="0" fontId="13" fillId="0" borderId="56" xfId="6" applyFont="1" applyBorder="1" applyAlignment="1">
      <alignment horizontal="center" vertical="center"/>
    </xf>
    <xf numFmtId="2" fontId="13" fillId="0" borderId="56" xfId="6" applyNumberFormat="1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2" fontId="13" fillId="0" borderId="0" xfId="6" applyNumberFormat="1" applyFont="1" applyAlignment="1">
      <alignment horizontal="center" vertical="center"/>
    </xf>
    <xf numFmtId="0" fontId="13" fillId="0" borderId="0" xfId="6" applyFont="1" applyAlignment="1">
      <alignment vertical="top"/>
    </xf>
    <xf numFmtId="0" fontId="10" fillId="0" borderId="56" xfId="8" applyFont="1" applyBorder="1" applyAlignment="1">
      <alignment vertical="center"/>
    </xf>
    <xf numFmtId="0" fontId="10" fillId="0" borderId="56" xfId="8" applyFont="1" applyBorder="1" applyAlignment="1">
      <alignment horizontal="left" vertical="center"/>
    </xf>
    <xf numFmtId="0" fontId="10" fillId="0" borderId="57" xfId="8" applyFont="1" applyBorder="1" applyAlignment="1">
      <alignment horizontal="left" vertical="center"/>
    </xf>
    <xf numFmtId="0" fontId="10" fillId="0" borderId="56" xfId="8" applyFont="1" applyBorder="1" applyAlignment="1">
      <alignment vertical="center" wrapText="1"/>
    </xf>
    <xf numFmtId="0" fontId="13" fillId="0" borderId="61" xfId="6" applyFont="1" applyBorder="1" applyAlignment="1">
      <alignment horizontal="center" vertical="center"/>
    </xf>
    <xf numFmtId="2" fontId="13" fillId="0" borderId="61" xfId="6" applyNumberFormat="1" applyFont="1" applyBorder="1" applyAlignment="1">
      <alignment horizontal="center" vertical="center"/>
    </xf>
    <xf numFmtId="0" fontId="2" fillId="0" borderId="61" xfId="6" applyFont="1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2" fillId="0" borderId="61" xfId="6" applyFont="1" applyBorder="1" applyAlignment="1">
      <alignment horizontal="center"/>
    </xf>
    <xf numFmtId="0" fontId="13" fillId="0" borderId="61" xfId="6" applyFont="1" applyBorder="1" applyAlignment="1">
      <alignment horizontal="center"/>
    </xf>
    <xf numFmtId="0" fontId="13" fillId="0" borderId="0" xfId="6" applyFont="1"/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6" fontId="4" fillId="0" borderId="12" xfId="0" quotePrefix="1" applyNumberFormat="1" applyFont="1" applyBorder="1" applyAlignment="1">
      <alignment horizontal="right" vertical="center" shrinkToFit="1"/>
    </xf>
    <xf numFmtId="0" fontId="4" fillId="0" borderId="13" xfId="0" quotePrefix="1" applyFont="1" applyBorder="1" applyAlignment="1">
      <alignment horizontal="right" vertical="center" shrinkToFit="1"/>
    </xf>
    <xf numFmtId="0" fontId="5" fillId="0" borderId="23" xfId="0" applyFont="1" applyBorder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shrinkToFit="1"/>
    </xf>
    <xf numFmtId="0" fontId="4" fillId="0" borderId="23" xfId="0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20" xfId="0" applyFont="1" applyBorder="1" applyAlignment="1">
      <alignment vertical="center" shrinkToFit="1"/>
    </xf>
    <xf numFmtId="0" fontId="5" fillId="0" borderId="23" xfId="0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23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20" xfId="0" applyFont="1" applyBorder="1" applyAlignment="1">
      <alignment horizontal="left" vertical="center" shrinkToFit="1"/>
    </xf>
    <xf numFmtId="164" fontId="7" fillId="0" borderId="25" xfId="1" applyNumberFormat="1" applyFont="1" applyBorder="1" applyAlignment="1">
      <alignment horizontal="left" vertical="center" wrapText="1"/>
    </xf>
    <xf numFmtId="164" fontId="7" fillId="0" borderId="0" xfId="1" applyNumberFormat="1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5" fontId="4" fillId="2" borderId="16" xfId="0" quotePrefix="1" applyNumberFormat="1" applyFont="1" applyFill="1" applyBorder="1" applyAlignment="1">
      <alignment horizontal="left" vertical="center" shrinkToFit="1"/>
    </xf>
    <xf numFmtId="15" fontId="4" fillId="2" borderId="22" xfId="0" quotePrefix="1" applyNumberFormat="1" applyFont="1" applyFill="1" applyBorder="1" applyAlignment="1">
      <alignment horizontal="left" vertical="center" shrinkToFit="1"/>
    </xf>
    <xf numFmtId="171" fontId="20" fillId="0" borderId="0" xfId="8" applyNumberFormat="1" applyFont="1" applyAlignment="1">
      <alignment horizontal="left" vertical="center"/>
    </xf>
    <xf numFmtId="0" fontId="19" fillId="0" borderId="38" xfId="8" applyFont="1" applyBorder="1" applyAlignment="1">
      <alignment horizontal="center" vertical="center"/>
    </xf>
    <xf numFmtId="0" fontId="19" fillId="0" borderId="39" xfId="8" applyFont="1" applyBorder="1" applyAlignment="1">
      <alignment horizontal="center" vertical="center"/>
    </xf>
    <xf numFmtId="0" fontId="19" fillId="0" borderId="40" xfId="8" applyFont="1" applyBorder="1" applyAlignment="1">
      <alignment horizontal="center" vertical="center"/>
    </xf>
    <xf numFmtId="49" fontId="27" fillId="0" borderId="0" xfId="13" applyNumberFormat="1" applyFont="1" applyAlignment="1">
      <alignment horizontal="left" vertical="center"/>
    </xf>
    <xf numFmtId="0" fontId="10" fillId="0" borderId="57" xfId="8" applyFont="1" applyBorder="1" applyAlignment="1">
      <alignment horizontal="center" vertical="center"/>
    </xf>
    <xf numFmtId="0" fontId="10" fillId="0" borderId="58" xfId="8" applyFont="1" applyBorder="1" applyAlignment="1">
      <alignment horizontal="center" vertical="center"/>
    </xf>
    <xf numFmtId="0" fontId="10" fillId="0" borderId="59" xfId="8" applyFont="1" applyBorder="1" applyAlignment="1">
      <alignment horizontal="center" vertical="center"/>
    </xf>
    <xf numFmtId="0" fontId="13" fillId="0" borderId="57" xfId="8" applyFont="1" applyBorder="1" applyAlignment="1">
      <alignment horizontal="center" vertical="center"/>
    </xf>
    <xf numFmtId="0" fontId="13" fillId="0" borderId="58" xfId="8" applyFont="1" applyBorder="1" applyAlignment="1">
      <alignment horizontal="center" vertical="center"/>
    </xf>
    <xf numFmtId="0" fontId="13" fillId="0" borderId="59" xfId="8" applyFont="1" applyBorder="1" applyAlignment="1">
      <alignment horizontal="center" vertical="center"/>
    </xf>
    <xf numFmtId="0" fontId="2" fillId="0" borderId="57" xfId="8" applyFont="1" applyBorder="1" applyAlignment="1">
      <alignment horizontal="left" vertical="center"/>
    </xf>
    <xf numFmtId="0" fontId="2" fillId="0" borderId="58" xfId="8" applyFont="1" applyBorder="1" applyAlignment="1">
      <alignment horizontal="left" vertical="center"/>
    </xf>
    <xf numFmtId="0" fontId="2" fillId="0" borderId="59" xfId="8" applyFont="1" applyBorder="1" applyAlignment="1">
      <alignment horizontal="left" vertical="center"/>
    </xf>
    <xf numFmtId="0" fontId="29" fillId="0" borderId="0" xfId="6" applyFont="1" applyAlignment="1">
      <alignment horizontal="center"/>
    </xf>
    <xf numFmtId="0" fontId="2" fillId="0" borderId="0" xfId="6" applyFont="1"/>
    <xf numFmtId="0" fontId="2" fillId="0" borderId="56" xfId="6" applyFont="1" applyBorder="1" applyAlignment="1">
      <alignment horizontal="center" vertical="center"/>
    </xf>
    <xf numFmtId="0" fontId="13" fillId="0" borderId="61" xfId="8" applyFont="1" applyBorder="1" applyAlignment="1">
      <alignment vertical="center"/>
    </xf>
    <xf numFmtId="0" fontId="13" fillId="0" borderId="61" xfId="8" applyFont="1" applyBorder="1" applyAlignment="1">
      <alignment horizontal="left" vertical="center"/>
    </xf>
    <xf numFmtId="0" fontId="13" fillId="0" borderId="60" xfId="8" applyFont="1" applyBorder="1" applyAlignment="1">
      <alignment horizontal="left" vertical="center"/>
    </xf>
    <xf numFmtId="0" fontId="13" fillId="0" borderId="62" xfId="8" applyFont="1" applyBorder="1" applyAlignment="1">
      <alignment vertical="center"/>
    </xf>
    <xf numFmtId="0" fontId="13" fillId="0" borderId="62" xfId="8" applyFont="1" applyBorder="1" applyAlignment="1">
      <alignment horizontal="left" vertical="center"/>
    </xf>
    <xf numFmtId="0" fontId="21" fillId="0" borderId="0" xfId="8" applyFont="1" applyBorder="1" applyAlignment="1">
      <alignment horizontal="justify" vertical="center" wrapText="1"/>
    </xf>
    <xf numFmtId="0" fontId="20" fillId="0" borderId="0" xfId="8" applyFont="1" applyBorder="1" applyAlignment="1">
      <alignment vertical="center"/>
    </xf>
    <xf numFmtId="0" fontId="21" fillId="0" borderId="0" xfId="8" applyFont="1" applyBorder="1" applyAlignment="1">
      <alignment vertical="center"/>
    </xf>
    <xf numFmtId="0" fontId="21" fillId="0" borderId="12" xfId="8" applyFont="1" applyBorder="1" applyAlignment="1">
      <alignment horizontal="center" vertical="center"/>
    </xf>
    <xf numFmtId="0" fontId="21" fillId="0" borderId="13" xfId="8" applyFont="1" applyBorder="1" applyAlignment="1">
      <alignment horizontal="center" vertical="center"/>
    </xf>
    <xf numFmtId="0" fontId="20" fillId="0" borderId="13" xfId="8" applyFont="1" applyBorder="1" applyAlignment="1">
      <alignment horizontal="left" vertical="center"/>
    </xf>
    <xf numFmtId="0" fontId="21" fillId="0" borderId="19" xfId="8" applyFont="1" applyBorder="1" applyAlignment="1">
      <alignment horizontal="center" vertical="center"/>
    </xf>
    <xf numFmtId="2" fontId="2" fillId="0" borderId="61" xfId="6" applyNumberFormat="1" applyFont="1" applyBorder="1" applyAlignment="1">
      <alignment horizontal="center" vertical="center"/>
    </xf>
    <xf numFmtId="1" fontId="30" fillId="0" borderId="61" xfId="0" applyNumberFormat="1" applyFont="1" applyBorder="1" applyAlignment="1">
      <alignment horizontal="center" vertical="center"/>
    </xf>
    <xf numFmtId="0" fontId="31" fillId="0" borderId="0" xfId="3" applyFont="1" applyAlignment="1">
      <alignment vertical="center" wrapText="1" shrinkToFit="1"/>
    </xf>
    <xf numFmtId="0" fontId="32" fillId="0" borderId="0" xfId="3" applyFont="1" applyAlignment="1">
      <alignment horizontal="center" vertical="center" shrinkToFit="1"/>
    </xf>
    <xf numFmtId="0" fontId="33" fillId="0" borderId="0" xfId="3" applyFont="1" applyAlignment="1">
      <alignment vertical="center" wrapText="1" shrinkToFit="1"/>
    </xf>
    <xf numFmtId="0" fontId="33" fillId="0" borderId="0" xfId="3" applyFont="1" applyAlignment="1">
      <alignment horizontal="center" vertical="center" wrapText="1" shrinkToFit="1"/>
    </xf>
    <xf numFmtId="0" fontId="12" fillId="0" borderId="0" xfId="3" applyFont="1" applyAlignment="1">
      <alignment vertical="center" wrapText="1" shrinkToFit="1"/>
    </xf>
    <xf numFmtId="0" fontId="12" fillId="0" borderId="0" xfId="3" applyFont="1" applyAlignment="1">
      <alignment horizontal="center" vertical="center" wrapText="1" shrinkToFit="1"/>
    </xf>
    <xf numFmtId="0" fontId="34" fillId="0" borderId="0" xfId="3" applyFont="1" applyAlignment="1">
      <alignment horizontal="center" vertical="center" shrinkToFit="1"/>
    </xf>
    <xf numFmtId="0" fontId="35" fillId="0" borderId="0" xfId="3" applyFont="1" applyAlignment="1">
      <alignment vertical="center" shrinkToFit="1"/>
    </xf>
    <xf numFmtId="0" fontId="13" fillId="0" borderId="0" xfId="3" applyFont="1" applyAlignment="1">
      <alignment vertical="center" shrinkToFit="1"/>
    </xf>
    <xf numFmtId="0" fontId="35" fillId="0" borderId="0" xfId="3" applyFont="1" applyAlignment="1">
      <alignment horizontal="center" vertical="center" shrinkToFit="1"/>
    </xf>
    <xf numFmtId="0" fontId="36" fillId="0" borderId="0" xfId="3" applyFont="1" applyAlignment="1">
      <alignment horizontal="center" vertical="center" shrinkToFit="1"/>
    </xf>
    <xf numFmtId="0" fontId="37" fillId="0" borderId="0" xfId="0" applyFont="1" applyAlignment="1">
      <alignment vertical="center"/>
    </xf>
    <xf numFmtId="0" fontId="37" fillId="0" borderId="0" xfId="3" applyFont="1" applyAlignment="1">
      <alignment horizontal="center" vertical="center" shrinkToFit="1"/>
    </xf>
    <xf numFmtId="3" fontId="36" fillId="0" borderId="0" xfId="3" applyNumberFormat="1" applyFont="1" applyAlignment="1">
      <alignment horizontal="center" vertical="center" shrinkToFit="1"/>
    </xf>
    <xf numFmtId="3" fontId="31" fillId="0" borderId="0" xfId="3" applyNumberFormat="1" applyFont="1" applyAlignment="1">
      <alignment horizontal="center" vertical="center" shrinkToFit="1"/>
    </xf>
    <xf numFmtId="3" fontId="37" fillId="0" borderId="0" xfId="3" quotePrefix="1" applyNumberFormat="1" applyFont="1" applyAlignment="1">
      <alignment horizontal="center" vertical="center" shrinkToFit="1"/>
    </xf>
    <xf numFmtId="0" fontId="31" fillId="0" borderId="0" xfId="3" applyFont="1" applyAlignment="1">
      <alignment horizontal="center" vertical="center" shrinkToFit="1"/>
    </xf>
    <xf numFmtId="0" fontId="37" fillId="0" borderId="61" xfId="3" applyFont="1" applyBorder="1" applyAlignment="1">
      <alignment horizontal="center" vertical="center" shrinkToFit="1"/>
    </xf>
    <xf numFmtId="0" fontId="37" fillId="0" borderId="60" xfId="3" applyFont="1" applyBorder="1" applyAlignment="1">
      <alignment horizontal="center" vertical="center" shrinkToFit="1"/>
    </xf>
    <xf numFmtId="0" fontId="37" fillId="0" borderId="62" xfId="3" applyFont="1" applyBorder="1" applyAlignment="1">
      <alignment horizontal="center" vertical="center" shrinkToFit="1"/>
    </xf>
    <xf numFmtId="3" fontId="38" fillId="0" borderId="61" xfId="0" applyNumberFormat="1" applyFont="1" applyBorder="1" applyAlignment="1">
      <alignment horizontal="center" vertical="center" wrapText="1"/>
    </xf>
    <xf numFmtId="3" fontId="37" fillId="0" borderId="61" xfId="3" applyNumberFormat="1" applyFont="1" applyBorder="1" applyAlignment="1">
      <alignment horizontal="center" vertical="center" shrinkToFit="1"/>
    </xf>
    <xf numFmtId="3" fontId="3" fillId="0" borderId="61" xfId="0" applyNumberFormat="1" applyFont="1" applyBorder="1" applyAlignment="1">
      <alignment horizontal="center" vertical="center"/>
    </xf>
    <xf numFmtId="0" fontId="31" fillId="0" borderId="61" xfId="3" applyFont="1" applyBorder="1" applyAlignment="1">
      <alignment horizontal="center" vertical="center" shrinkToFit="1"/>
    </xf>
    <xf numFmtId="0" fontId="39" fillId="2" borderId="61" xfId="4" applyFont="1" applyFill="1" applyBorder="1" applyAlignment="1">
      <alignment horizontal="center" vertical="center" shrinkToFit="1"/>
    </xf>
    <xf numFmtId="0" fontId="39" fillId="2" borderId="61" xfId="0" quotePrefix="1" applyFont="1" applyFill="1" applyBorder="1" applyAlignment="1">
      <alignment horizontal="center" vertical="center"/>
    </xf>
    <xf numFmtId="0" fontId="39" fillId="2" borderId="61" xfId="4" applyFont="1" applyFill="1" applyBorder="1" applyAlignment="1">
      <alignment horizontal="center" shrinkToFit="1"/>
    </xf>
    <xf numFmtId="3" fontId="39" fillId="2" borderId="61" xfId="0" quotePrefix="1" applyNumberFormat="1" applyFont="1" applyFill="1" applyBorder="1" applyAlignment="1">
      <alignment horizontal="center"/>
    </xf>
    <xf numFmtId="0" fontId="40" fillId="0" borderId="61" xfId="3" applyFont="1" applyBorder="1" applyAlignment="1">
      <alignment horizontal="center" vertical="center" shrinkToFit="1"/>
    </xf>
    <xf numFmtId="0" fontId="41" fillId="0" borderId="62" xfId="6" applyFont="1" applyBorder="1" applyAlignment="1">
      <alignment horizontal="center" vertical="center"/>
    </xf>
    <xf numFmtId="0" fontId="41" fillId="0" borderId="61" xfId="6" applyFont="1" applyBorder="1" applyAlignment="1">
      <alignment horizontal="center" vertical="center"/>
    </xf>
    <xf numFmtId="0" fontId="40" fillId="0" borderId="0" xfId="3" applyFont="1" applyAlignment="1">
      <alignment horizontal="center" vertical="center" shrinkToFit="1"/>
    </xf>
    <xf numFmtId="0" fontId="3" fillId="2" borderId="61" xfId="4" applyFont="1" applyFill="1" applyBorder="1" applyAlignment="1">
      <alignment horizontal="center" shrinkToFit="1"/>
    </xf>
    <xf numFmtId="0" fontId="37" fillId="0" borderId="61" xfId="3" applyFont="1" applyBorder="1" applyAlignment="1">
      <alignment vertical="center" shrinkToFit="1"/>
    </xf>
    <xf numFmtId="3" fontId="37" fillId="0" borderId="61" xfId="0" applyNumberFormat="1" applyFont="1" applyBorder="1" applyAlignment="1">
      <alignment horizontal="center" vertical="center"/>
    </xf>
    <xf numFmtId="0" fontId="36" fillId="0" borderId="61" xfId="3" applyFont="1" applyBorder="1" applyAlignment="1">
      <alignment horizontal="center" vertical="center" shrinkToFit="1"/>
    </xf>
    <xf numFmtId="3" fontId="37" fillId="0" borderId="0" xfId="3" applyNumberFormat="1" applyFont="1" applyAlignment="1">
      <alignment horizontal="center" vertical="center" shrinkToFit="1"/>
    </xf>
    <xf numFmtId="3" fontId="34" fillId="0" borderId="0" xfId="3" applyNumberFormat="1" applyFont="1" applyAlignment="1">
      <alignment horizontal="center" vertical="center" shrinkToFit="1"/>
    </xf>
    <xf numFmtId="3" fontId="12" fillId="0" borderId="0" xfId="3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7" fillId="0" borderId="0" xfId="3" applyFont="1" applyAlignment="1">
      <alignment horizontal="center" vertical="center"/>
    </xf>
    <xf numFmtId="0" fontId="3" fillId="0" borderId="61" xfId="3" applyFont="1" applyBorder="1" applyAlignment="1">
      <alignment horizontal="center" vertical="center" shrinkToFit="1"/>
    </xf>
    <xf numFmtId="0" fontId="39" fillId="0" borderId="61" xfId="3" applyFont="1" applyBorder="1" applyAlignment="1">
      <alignment horizontal="center" vertical="center" shrinkToFit="1"/>
    </xf>
    <xf numFmtId="0" fontId="3" fillId="0" borderId="61" xfId="0" applyFont="1" applyBorder="1" applyAlignment="1">
      <alignment horizontal="center" vertical="center"/>
    </xf>
    <xf numFmtId="0" fontId="3" fillId="2" borderId="61" xfId="4" applyFont="1" applyFill="1" applyBorder="1" applyAlignment="1">
      <alignment horizontal="center" vertical="center" shrinkToFit="1"/>
    </xf>
    <xf numFmtId="3" fontId="3" fillId="2" borderId="61" xfId="0" applyNumberFormat="1" applyFont="1" applyFill="1" applyBorder="1" applyAlignment="1">
      <alignment horizontal="center" vertical="center"/>
    </xf>
    <xf numFmtId="0" fontId="37" fillId="0" borderId="0" xfId="3" applyFont="1"/>
    <xf numFmtId="0" fontId="3" fillId="0" borderId="61" xfId="3" applyFont="1" applyBorder="1" applyAlignment="1">
      <alignment horizontal="center"/>
    </xf>
    <xf numFmtId="1" fontId="42" fillId="0" borderId="61" xfId="3" applyNumberFormat="1" applyFont="1" applyBorder="1" applyAlignment="1">
      <alignment horizontal="center"/>
    </xf>
    <xf numFmtId="0" fontId="31" fillId="0" borderId="0" xfId="3" applyFont="1" applyAlignment="1">
      <alignment horizontal="center" vertical="center" shrinkToFit="1"/>
    </xf>
    <xf numFmtId="1" fontId="42" fillId="0" borderId="61" xfId="3" quotePrefix="1" applyNumberFormat="1" applyFont="1" applyBorder="1" applyAlignment="1">
      <alignment horizontal="center" vertical="center" shrinkToFit="1"/>
    </xf>
    <xf numFmtId="2" fontId="40" fillId="0" borderId="61" xfId="3" quotePrefix="1" applyNumberFormat="1" applyFont="1" applyBorder="1" applyAlignment="1">
      <alignment horizontal="center" vertical="center" shrinkToFit="1"/>
    </xf>
    <xf numFmtId="178" fontId="36" fillId="0" borderId="0" xfId="3" applyNumberFormat="1" applyFont="1" applyAlignment="1">
      <alignment horizontal="center" vertical="center" shrinkToFit="1"/>
    </xf>
    <xf numFmtId="0" fontId="3" fillId="0" borderId="53" xfId="3" applyFont="1" applyBorder="1" applyAlignment="1">
      <alignment horizontal="center" vertical="center" wrapText="1"/>
    </xf>
    <xf numFmtId="0" fontId="3" fillId="0" borderId="61" xfId="3" applyFont="1" applyBorder="1" applyAlignment="1">
      <alignment horizontal="center" vertical="center" wrapText="1"/>
    </xf>
    <xf numFmtId="0" fontId="3" fillId="0" borderId="61" xfId="3" applyFont="1" applyBorder="1" applyAlignment="1">
      <alignment horizontal="center" vertical="center"/>
    </xf>
    <xf numFmtId="0" fontId="40" fillId="2" borderId="61" xfId="0" applyFont="1" applyFill="1" applyBorder="1" applyAlignment="1">
      <alignment horizontal="center"/>
    </xf>
    <xf numFmtId="0" fontId="12" fillId="0" borderId="61" xfId="3" applyFont="1" applyBorder="1" applyAlignment="1">
      <alignment horizontal="center" vertical="center" shrinkToFit="1"/>
    </xf>
    <xf numFmtId="0" fontId="12" fillId="0" borderId="60" xfId="3" applyFont="1" applyBorder="1" applyAlignment="1">
      <alignment horizontal="center" vertical="center" shrinkToFit="1"/>
    </xf>
    <xf numFmtId="0" fontId="12" fillId="0" borderId="62" xfId="3" applyFont="1" applyBorder="1" applyAlignment="1">
      <alignment horizontal="center" vertical="center" shrinkToFit="1"/>
    </xf>
    <xf numFmtId="0" fontId="12" fillId="0" borderId="0" xfId="3" applyFont="1" applyAlignment="1">
      <alignment horizontal="center" vertical="center" shrinkToFit="1"/>
    </xf>
    <xf numFmtId="180" fontId="40" fillId="0" borderId="61" xfId="3" applyNumberFormat="1" applyFont="1" applyBorder="1" applyAlignment="1">
      <alignment horizontal="center" vertical="center" shrinkToFit="1"/>
    </xf>
    <xf numFmtId="0" fontId="3" fillId="2" borderId="61" xfId="0" quotePrefix="1" applyFont="1" applyFill="1" applyBorder="1" applyAlignment="1">
      <alignment horizontal="center" vertical="center"/>
    </xf>
    <xf numFmtId="0" fontId="43" fillId="0" borderId="62" xfId="6" applyFont="1" applyBorder="1" applyAlignment="1">
      <alignment horizontal="center" vertical="center"/>
    </xf>
    <xf numFmtId="0" fontId="43" fillId="0" borderId="61" xfId="6" applyFont="1" applyBorder="1" applyAlignment="1">
      <alignment horizontal="center" vertical="center"/>
    </xf>
    <xf numFmtId="0" fontId="42" fillId="0" borderId="0" xfId="3" applyFont="1" applyAlignment="1">
      <alignment horizontal="center" vertical="center" shrinkToFit="1"/>
    </xf>
    <xf numFmtId="173" fontId="37" fillId="0" borderId="61" xfId="0" applyNumberFormat="1" applyFont="1" applyBorder="1" applyAlignment="1">
      <alignment horizontal="center" vertical="center"/>
    </xf>
    <xf numFmtId="0" fontId="44" fillId="0" borderId="61" xfId="0" applyFont="1" applyBorder="1" applyAlignment="1">
      <alignment horizontal="center" vertical="center" shrinkToFit="1"/>
    </xf>
    <xf numFmtId="2" fontId="45" fillId="0" borderId="0" xfId="3" applyNumberFormat="1" applyFont="1" applyAlignment="1">
      <alignment horizontal="center" vertical="center" shrinkToFit="1"/>
    </xf>
    <xf numFmtId="3" fontId="3" fillId="2" borderId="61" xfId="0" quotePrefix="1" applyNumberFormat="1" applyFont="1" applyFill="1" applyBorder="1" applyAlignment="1">
      <alignment horizontal="center"/>
    </xf>
    <xf numFmtId="180" fontId="42" fillId="0" borderId="61" xfId="3" applyNumberFormat="1" applyFont="1" applyBorder="1" applyAlignment="1">
      <alignment horizontal="center" vertical="center" shrinkToFit="1"/>
    </xf>
  </cellXfs>
  <cellStyles count="15">
    <cellStyle name="_Table2_Out" xfId="5" xr:uid="{00000000-0005-0000-0000-000000000000}"/>
    <cellStyle name="Comma" xfId="1" builtinId="3"/>
    <cellStyle name="Comma 2" xfId="9" xr:uid="{00000000-0005-0000-0000-000002000000}"/>
    <cellStyle name="Comma 3" xfId="11" xr:uid="{00000000-0005-0000-0000-000003000000}"/>
    <cellStyle name="Currency" xfId="14" builtinId="4"/>
    <cellStyle name="Normal" xfId="0" builtinId="0"/>
    <cellStyle name="Normal 2" xfId="3" xr:uid="{00000000-0005-0000-0000-000005000000}"/>
    <cellStyle name="Normal 2 2" xfId="4" xr:uid="{00000000-0005-0000-0000-000006000000}"/>
    <cellStyle name="Normal 3" xfId="8" xr:uid="{00000000-0005-0000-0000-000007000000}"/>
    <cellStyle name="Normal 3 2" xfId="6" xr:uid="{00000000-0005-0000-0000-000008000000}"/>
    <cellStyle name="Normal 4" xfId="13" xr:uid="{FF3DD23F-4AE4-46E1-8568-04D767EAEBF3}"/>
    <cellStyle name="Normal 4 3" xfId="7" xr:uid="{00000000-0005-0000-0000-000009000000}"/>
    <cellStyle name="Normal 7" xfId="2" xr:uid="{00000000-0005-0000-0000-00000A000000}"/>
    <cellStyle name="Style 1 5" xfId="12" xr:uid="{00000000-0005-0000-0000-00000B000000}"/>
    <cellStyle name="一般_INV CANADA VB030013 (1)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1733550</xdr:colOff>
      <xdr:row>45</xdr:row>
      <xdr:rowOff>66675</xdr:rowOff>
    </xdr:from>
    <xdr:to>
      <xdr:col>4</xdr:col>
      <xdr:colOff>257175</xdr:colOff>
      <xdr:row>46</xdr:row>
      <xdr:rowOff>9525</xdr:rowOff>
    </xdr:to>
    <xdr:pic>
      <xdr:nvPicPr>
        <xdr:cNvPr id="2" name="Picture 19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2230100"/>
          <a:ext cx="2524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15</xdr:col>
      <xdr:colOff>171450</xdr:colOff>
      <xdr:row>4</xdr:row>
      <xdr:rowOff>0</xdr:rowOff>
    </xdr:to>
    <xdr:pic>
      <xdr:nvPicPr>
        <xdr:cNvPr id="2" name="Picture 15830">
          <a:extLst>
            <a:ext uri="{FF2B5EF4-FFF2-40B4-BE49-F238E27FC236}">
              <a16:creationId xmlns:a16="http://schemas.microsoft.com/office/drawing/2014/main" id="{8930C220-7E52-4189-972E-FFA4DB89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76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15</xdr:col>
      <xdr:colOff>133350</xdr:colOff>
      <xdr:row>4</xdr:row>
      <xdr:rowOff>0</xdr:rowOff>
    </xdr:to>
    <xdr:pic>
      <xdr:nvPicPr>
        <xdr:cNvPr id="3" name="Picture 15830">
          <a:extLst>
            <a:ext uri="{FF2B5EF4-FFF2-40B4-BE49-F238E27FC236}">
              <a16:creationId xmlns:a16="http://schemas.microsoft.com/office/drawing/2014/main" id="{BD62FEE0-2248-4556-ABF3-9BA72CF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385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15</xdr:col>
      <xdr:colOff>133350</xdr:colOff>
      <xdr:row>4</xdr:row>
      <xdr:rowOff>0</xdr:rowOff>
    </xdr:to>
    <xdr:pic>
      <xdr:nvPicPr>
        <xdr:cNvPr id="4" name="Picture 15830">
          <a:extLst>
            <a:ext uri="{FF2B5EF4-FFF2-40B4-BE49-F238E27FC236}">
              <a16:creationId xmlns:a16="http://schemas.microsoft.com/office/drawing/2014/main" id="{8C9684E0-A8D3-4324-8CC6-5B4917445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385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17</xdr:col>
      <xdr:colOff>193675</xdr:colOff>
      <xdr:row>5</xdr:row>
      <xdr:rowOff>0</xdr:rowOff>
    </xdr:to>
    <xdr:pic>
      <xdr:nvPicPr>
        <xdr:cNvPr id="5" name="Picture 15830">
          <a:extLst>
            <a:ext uri="{FF2B5EF4-FFF2-40B4-BE49-F238E27FC236}">
              <a16:creationId xmlns:a16="http://schemas.microsoft.com/office/drawing/2014/main" id="{9A8A0E2B-72F5-4E7C-BD92-61F131CFD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52705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16</xdr:col>
      <xdr:colOff>165100</xdr:colOff>
      <xdr:row>5</xdr:row>
      <xdr:rowOff>0</xdr:rowOff>
    </xdr:to>
    <xdr:pic>
      <xdr:nvPicPr>
        <xdr:cNvPr id="6" name="Picture 15830">
          <a:extLst>
            <a:ext uri="{FF2B5EF4-FFF2-40B4-BE49-F238E27FC236}">
              <a16:creationId xmlns:a16="http://schemas.microsoft.com/office/drawing/2014/main" id="{F2556C51-22F3-4C5E-A133-7FA11D944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45561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7" name="Picture 15830">
          <a:extLst>
            <a:ext uri="{FF2B5EF4-FFF2-40B4-BE49-F238E27FC236}">
              <a16:creationId xmlns:a16="http://schemas.microsoft.com/office/drawing/2014/main" id="{C0D08766-EE0E-4098-9CD6-20F42D5D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8" name="Picture 15830">
          <a:extLst>
            <a:ext uri="{FF2B5EF4-FFF2-40B4-BE49-F238E27FC236}">
              <a16:creationId xmlns:a16="http://schemas.microsoft.com/office/drawing/2014/main" id="{92736E78-D87B-4DDB-997B-B7EEC1165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17</xdr:col>
      <xdr:colOff>193675</xdr:colOff>
      <xdr:row>5</xdr:row>
      <xdr:rowOff>0</xdr:rowOff>
    </xdr:to>
    <xdr:pic>
      <xdr:nvPicPr>
        <xdr:cNvPr id="9" name="Picture 15830">
          <a:extLst>
            <a:ext uri="{FF2B5EF4-FFF2-40B4-BE49-F238E27FC236}">
              <a16:creationId xmlns:a16="http://schemas.microsoft.com/office/drawing/2014/main" id="{9151C112-8CE2-4977-BAA7-523664025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52705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16</xdr:col>
      <xdr:colOff>165100</xdr:colOff>
      <xdr:row>5</xdr:row>
      <xdr:rowOff>0</xdr:rowOff>
    </xdr:to>
    <xdr:pic>
      <xdr:nvPicPr>
        <xdr:cNvPr id="10" name="Picture 15830">
          <a:extLst>
            <a:ext uri="{FF2B5EF4-FFF2-40B4-BE49-F238E27FC236}">
              <a16:creationId xmlns:a16="http://schemas.microsoft.com/office/drawing/2014/main" id="{AED8B3FE-D585-4C10-9621-1C478BD8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45561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1" name="Picture 15830">
          <a:extLst>
            <a:ext uri="{FF2B5EF4-FFF2-40B4-BE49-F238E27FC236}">
              <a16:creationId xmlns:a16="http://schemas.microsoft.com/office/drawing/2014/main" id="{395BF2BF-426E-4E18-9CA6-FB5AC6330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2" name="Picture 15830">
          <a:extLst>
            <a:ext uri="{FF2B5EF4-FFF2-40B4-BE49-F238E27FC236}">
              <a16:creationId xmlns:a16="http://schemas.microsoft.com/office/drawing/2014/main" id="{6BF2B417-5071-47C3-ABB2-3AE58990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13" name="Picture 15830">
          <a:extLst>
            <a:ext uri="{FF2B5EF4-FFF2-40B4-BE49-F238E27FC236}">
              <a16:creationId xmlns:a16="http://schemas.microsoft.com/office/drawing/2014/main" id="{DA35F37A-A36D-4FDC-889D-FB840E47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4" name="Picture 15830">
          <a:extLst>
            <a:ext uri="{FF2B5EF4-FFF2-40B4-BE49-F238E27FC236}">
              <a16:creationId xmlns:a16="http://schemas.microsoft.com/office/drawing/2014/main" id="{F9B695B7-CCFD-4F8B-BF4B-1724B25BC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5" name="Picture 15830">
          <a:extLst>
            <a:ext uri="{FF2B5EF4-FFF2-40B4-BE49-F238E27FC236}">
              <a16:creationId xmlns:a16="http://schemas.microsoft.com/office/drawing/2014/main" id="{8AEC2F41-FA06-4D21-A076-34DAE2834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16" name="Picture 15830">
          <a:extLst>
            <a:ext uri="{FF2B5EF4-FFF2-40B4-BE49-F238E27FC236}">
              <a16:creationId xmlns:a16="http://schemas.microsoft.com/office/drawing/2014/main" id="{45510787-1A7A-43AB-B08F-F09028777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460375</xdr:colOff>
      <xdr:row>5</xdr:row>
      <xdr:rowOff>0</xdr:rowOff>
    </xdr:to>
    <xdr:pic>
      <xdr:nvPicPr>
        <xdr:cNvPr id="17" name="Picture 15830">
          <a:extLst>
            <a:ext uri="{FF2B5EF4-FFF2-40B4-BE49-F238E27FC236}">
              <a16:creationId xmlns:a16="http://schemas.microsoft.com/office/drawing/2014/main" id="{0B85C55D-F0CD-48A1-9D2A-027AE316F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8613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8" name="Picture 15830">
          <a:extLst>
            <a:ext uri="{FF2B5EF4-FFF2-40B4-BE49-F238E27FC236}">
              <a16:creationId xmlns:a16="http://schemas.microsoft.com/office/drawing/2014/main" id="{2BAA4BA3-3123-4096-BF9B-826B0F0E3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9" name="Picture 15830">
          <a:extLst>
            <a:ext uri="{FF2B5EF4-FFF2-40B4-BE49-F238E27FC236}">
              <a16:creationId xmlns:a16="http://schemas.microsoft.com/office/drawing/2014/main" id="{C29E8C4D-8E9C-4B06-8A46-F5CDE2A3C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20" name="Picture 15830">
          <a:extLst>
            <a:ext uri="{FF2B5EF4-FFF2-40B4-BE49-F238E27FC236}">
              <a16:creationId xmlns:a16="http://schemas.microsoft.com/office/drawing/2014/main" id="{BB3B7E18-C1A0-480E-B401-163BF252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19</xdr:col>
      <xdr:colOff>384175</xdr:colOff>
      <xdr:row>5</xdr:row>
      <xdr:rowOff>0</xdr:rowOff>
    </xdr:to>
    <xdr:pic>
      <xdr:nvPicPr>
        <xdr:cNvPr id="21" name="Picture 15830">
          <a:extLst>
            <a:ext uri="{FF2B5EF4-FFF2-40B4-BE49-F238E27FC236}">
              <a16:creationId xmlns:a16="http://schemas.microsoft.com/office/drawing/2014/main" id="{41CC6676-DC79-4167-BD44-D4118B842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7851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22" name="Picture 15830">
          <a:extLst>
            <a:ext uri="{FF2B5EF4-FFF2-40B4-BE49-F238E27FC236}">
              <a16:creationId xmlns:a16="http://schemas.microsoft.com/office/drawing/2014/main" id="{8BB18A76-8210-4001-91E4-D80CF69A2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23" name="Picture 15830">
          <a:extLst>
            <a:ext uri="{FF2B5EF4-FFF2-40B4-BE49-F238E27FC236}">
              <a16:creationId xmlns:a16="http://schemas.microsoft.com/office/drawing/2014/main" id="{8D0469AA-6755-4E87-9EA5-E531D2E2D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24" name="Picture 15830">
          <a:extLst>
            <a:ext uri="{FF2B5EF4-FFF2-40B4-BE49-F238E27FC236}">
              <a16:creationId xmlns:a16="http://schemas.microsoft.com/office/drawing/2014/main" id="{B9EF6AAF-076C-47DE-9BC4-872902B5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19</xdr:col>
      <xdr:colOff>384175</xdr:colOff>
      <xdr:row>5</xdr:row>
      <xdr:rowOff>0</xdr:rowOff>
    </xdr:to>
    <xdr:pic>
      <xdr:nvPicPr>
        <xdr:cNvPr id="25" name="Picture 15830">
          <a:extLst>
            <a:ext uri="{FF2B5EF4-FFF2-40B4-BE49-F238E27FC236}">
              <a16:creationId xmlns:a16="http://schemas.microsoft.com/office/drawing/2014/main" id="{A1A8B951-81A5-41C5-B5A1-9569B2039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7851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26" name="Picture 15830">
          <a:extLst>
            <a:ext uri="{FF2B5EF4-FFF2-40B4-BE49-F238E27FC236}">
              <a16:creationId xmlns:a16="http://schemas.microsoft.com/office/drawing/2014/main" id="{2648953D-A45A-42D7-A826-3C2F9F8AD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27" name="Picture 15830">
          <a:extLst>
            <a:ext uri="{FF2B5EF4-FFF2-40B4-BE49-F238E27FC236}">
              <a16:creationId xmlns:a16="http://schemas.microsoft.com/office/drawing/2014/main" id="{FD32EF17-BF16-4240-B744-222B546FE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19</xdr:col>
      <xdr:colOff>128508</xdr:colOff>
      <xdr:row>0</xdr:row>
      <xdr:rowOff>0</xdr:rowOff>
    </xdr:to>
    <xdr:pic>
      <xdr:nvPicPr>
        <xdr:cNvPr id="2" name="Picture 15830">
          <a:extLst>
            <a:ext uri="{FF2B5EF4-FFF2-40B4-BE49-F238E27FC236}">
              <a16:creationId xmlns:a16="http://schemas.microsoft.com/office/drawing/2014/main" id="{B4471843-0CF7-4C1F-A7C1-71FD7C516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6300708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442831</xdr:colOff>
      <xdr:row>0</xdr:row>
      <xdr:rowOff>0</xdr:rowOff>
    </xdr:to>
    <xdr:pic>
      <xdr:nvPicPr>
        <xdr:cNvPr id="3" name="Picture 15830">
          <a:extLst>
            <a:ext uri="{FF2B5EF4-FFF2-40B4-BE49-F238E27FC236}">
              <a16:creationId xmlns:a16="http://schemas.microsoft.com/office/drawing/2014/main" id="{4F48F6A8-EE9E-428B-8A48-36E18F6CC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5929231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328531</xdr:colOff>
      <xdr:row>0</xdr:row>
      <xdr:rowOff>0</xdr:rowOff>
    </xdr:to>
    <xdr:pic>
      <xdr:nvPicPr>
        <xdr:cNvPr id="4" name="Picture 15830">
          <a:extLst>
            <a:ext uri="{FF2B5EF4-FFF2-40B4-BE49-F238E27FC236}">
              <a16:creationId xmlns:a16="http://schemas.microsoft.com/office/drawing/2014/main" id="{4B51CE2E-45DA-4EF0-B84C-C5F4735B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5814931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29</xdr:col>
      <xdr:colOff>471406</xdr:colOff>
      <xdr:row>0</xdr:row>
      <xdr:rowOff>0</xdr:rowOff>
    </xdr:to>
    <xdr:pic>
      <xdr:nvPicPr>
        <xdr:cNvPr id="5" name="Picture 15830">
          <a:extLst>
            <a:ext uri="{FF2B5EF4-FFF2-40B4-BE49-F238E27FC236}">
              <a16:creationId xmlns:a16="http://schemas.microsoft.com/office/drawing/2014/main" id="{AB94F43F-C6BB-432D-B341-134FD41D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3501606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24</xdr:col>
      <xdr:colOff>176132</xdr:colOff>
      <xdr:row>0</xdr:row>
      <xdr:rowOff>0</xdr:rowOff>
    </xdr:to>
    <xdr:pic>
      <xdr:nvPicPr>
        <xdr:cNvPr id="6" name="Picture 15830">
          <a:extLst>
            <a:ext uri="{FF2B5EF4-FFF2-40B4-BE49-F238E27FC236}">
              <a16:creationId xmlns:a16="http://schemas.microsoft.com/office/drawing/2014/main" id="{01194A15-53E4-4E5F-9562-C31F6E868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977733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21</xdr:col>
      <xdr:colOff>147556</xdr:colOff>
      <xdr:row>0</xdr:row>
      <xdr:rowOff>0</xdr:rowOff>
    </xdr:to>
    <xdr:pic>
      <xdr:nvPicPr>
        <xdr:cNvPr id="7" name="Picture 15830">
          <a:extLst>
            <a:ext uri="{FF2B5EF4-FFF2-40B4-BE49-F238E27FC236}">
              <a16:creationId xmlns:a16="http://schemas.microsoft.com/office/drawing/2014/main" id="{AE88609C-3D80-4BB1-A88F-8652C3926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7691356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38</xdr:col>
      <xdr:colOff>452357</xdr:colOff>
      <xdr:row>0</xdr:row>
      <xdr:rowOff>0</xdr:rowOff>
    </xdr:to>
    <xdr:pic>
      <xdr:nvPicPr>
        <xdr:cNvPr id="8" name="Picture 15830">
          <a:extLst>
            <a:ext uri="{FF2B5EF4-FFF2-40B4-BE49-F238E27FC236}">
              <a16:creationId xmlns:a16="http://schemas.microsoft.com/office/drawing/2014/main" id="{EE3A8679-8D5E-4D95-8483-7D0FB04C5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965475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27</xdr:col>
      <xdr:colOff>547608</xdr:colOff>
      <xdr:row>0</xdr:row>
      <xdr:rowOff>0</xdr:rowOff>
    </xdr:to>
    <xdr:pic>
      <xdr:nvPicPr>
        <xdr:cNvPr id="9" name="Picture 15830">
          <a:extLst>
            <a:ext uri="{FF2B5EF4-FFF2-40B4-BE49-F238E27FC236}">
              <a16:creationId xmlns:a16="http://schemas.microsoft.com/office/drawing/2014/main" id="{36E1D2E5-6E4B-47FD-B411-37D948F0E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2206208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" name="Picture 15830">
          <a:extLst>
            <a:ext uri="{FF2B5EF4-FFF2-40B4-BE49-F238E27FC236}">
              <a16:creationId xmlns:a16="http://schemas.microsoft.com/office/drawing/2014/main" id="{9F424633-04E7-4CF6-969F-2A580DC9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" name="Picture 15830">
          <a:extLst>
            <a:ext uri="{FF2B5EF4-FFF2-40B4-BE49-F238E27FC236}">
              <a16:creationId xmlns:a16="http://schemas.microsoft.com/office/drawing/2014/main" id="{2090BE66-7068-4BF2-A957-D8BE1067A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2" name="Picture 2" descr="A TY PPHONG.PNG">
          <a:extLst>
            <a:ext uri="{FF2B5EF4-FFF2-40B4-BE49-F238E27FC236}">
              <a16:creationId xmlns:a16="http://schemas.microsoft.com/office/drawing/2014/main" id="{61570775-7C88-4542-BC76-00FA4C5D0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3" name="Picture 2" descr="A TY PPHONG.PNG">
          <a:extLst>
            <a:ext uri="{FF2B5EF4-FFF2-40B4-BE49-F238E27FC236}">
              <a16:creationId xmlns:a16="http://schemas.microsoft.com/office/drawing/2014/main" id="{3642EDC9-BA9D-4085-95DA-34AA1B0AE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4" name="Picture 15830">
          <a:extLst>
            <a:ext uri="{FF2B5EF4-FFF2-40B4-BE49-F238E27FC236}">
              <a16:creationId xmlns:a16="http://schemas.microsoft.com/office/drawing/2014/main" id="{884BF4E6-39C8-4994-9FF9-A1072058A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5" name="Picture 15830">
          <a:extLst>
            <a:ext uri="{FF2B5EF4-FFF2-40B4-BE49-F238E27FC236}">
              <a16:creationId xmlns:a16="http://schemas.microsoft.com/office/drawing/2014/main" id="{29DA5071-720D-4B5F-BF0E-C1B60193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6" name="Picture 2" descr="A TY PPHONG.PNG">
          <a:extLst>
            <a:ext uri="{FF2B5EF4-FFF2-40B4-BE49-F238E27FC236}">
              <a16:creationId xmlns:a16="http://schemas.microsoft.com/office/drawing/2014/main" id="{48F0D0BA-A628-4A59-9F4C-724662437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7" name="Picture 2" descr="A TY PPHONG.PNG">
          <a:extLst>
            <a:ext uri="{FF2B5EF4-FFF2-40B4-BE49-F238E27FC236}">
              <a16:creationId xmlns:a16="http://schemas.microsoft.com/office/drawing/2014/main" id="{5967C903-3BA2-44A9-B0A1-4BFF8407D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8" name="Picture 2" descr="A TY PPHONG.PNG">
          <a:extLst>
            <a:ext uri="{FF2B5EF4-FFF2-40B4-BE49-F238E27FC236}">
              <a16:creationId xmlns:a16="http://schemas.microsoft.com/office/drawing/2014/main" id="{F6615A49-4ACA-405D-B7DB-FEDECBE09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9" name="Picture 2" descr="A TY PPHONG.PNG">
          <a:extLst>
            <a:ext uri="{FF2B5EF4-FFF2-40B4-BE49-F238E27FC236}">
              <a16:creationId xmlns:a16="http://schemas.microsoft.com/office/drawing/2014/main" id="{F361F94B-CEDB-4E76-B99A-0946E3B2B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0" name="Picture 2" descr="A TY PPHONG.PNG">
          <a:extLst>
            <a:ext uri="{FF2B5EF4-FFF2-40B4-BE49-F238E27FC236}">
              <a16:creationId xmlns:a16="http://schemas.microsoft.com/office/drawing/2014/main" id="{F5D48DC0-F689-47D7-80E7-EC62FCAD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1" name="Picture 2" descr="A TY PPHONG.PNG">
          <a:extLst>
            <a:ext uri="{FF2B5EF4-FFF2-40B4-BE49-F238E27FC236}">
              <a16:creationId xmlns:a16="http://schemas.microsoft.com/office/drawing/2014/main" id="{695E16AF-1306-44DE-B2BA-7EF43C854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2" name="Picture 2" descr="A TY PPHONG.PNG">
          <a:extLst>
            <a:ext uri="{FF2B5EF4-FFF2-40B4-BE49-F238E27FC236}">
              <a16:creationId xmlns:a16="http://schemas.microsoft.com/office/drawing/2014/main" id="{BF453D88-7006-40D7-935B-A1DE16BC2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3" name="Picture 2" descr="A TY PPHONG.PNG">
          <a:extLst>
            <a:ext uri="{FF2B5EF4-FFF2-40B4-BE49-F238E27FC236}">
              <a16:creationId xmlns:a16="http://schemas.microsoft.com/office/drawing/2014/main" id="{C6E29062-E6E4-487C-A288-976E2419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4" name="Picture 2" descr="A TY PPHONG.PNG">
          <a:extLst>
            <a:ext uri="{FF2B5EF4-FFF2-40B4-BE49-F238E27FC236}">
              <a16:creationId xmlns:a16="http://schemas.microsoft.com/office/drawing/2014/main" id="{E0DCA8D9-DCF7-4D2E-BEA9-581B0E8C6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5" name="Picture 2" descr="A TY PPHONG.PNG">
          <a:extLst>
            <a:ext uri="{FF2B5EF4-FFF2-40B4-BE49-F238E27FC236}">
              <a16:creationId xmlns:a16="http://schemas.microsoft.com/office/drawing/2014/main" id="{EF4E7E2F-C5CB-4CB4-B7ED-13D92E47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6" name="Picture 15830">
          <a:extLst>
            <a:ext uri="{FF2B5EF4-FFF2-40B4-BE49-F238E27FC236}">
              <a16:creationId xmlns:a16="http://schemas.microsoft.com/office/drawing/2014/main" id="{EE34AADA-2F44-4648-B02C-C67D76CE0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7" name="Picture 2" descr="A TY PPHONG.PNG">
          <a:extLst>
            <a:ext uri="{FF2B5EF4-FFF2-40B4-BE49-F238E27FC236}">
              <a16:creationId xmlns:a16="http://schemas.microsoft.com/office/drawing/2014/main" id="{DE4B7DE7-480C-47EC-AF29-B339B4449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8" name="Picture 15830">
          <a:extLst>
            <a:ext uri="{FF2B5EF4-FFF2-40B4-BE49-F238E27FC236}">
              <a16:creationId xmlns:a16="http://schemas.microsoft.com/office/drawing/2014/main" id="{D8ED6003-FB08-4C95-A6E9-2CD37D9B9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9" name="Picture 15830">
          <a:extLst>
            <a:ext uri="{FF2B5EF4-FFF2-40B4-BE49-F238E27FC236}">
              <a16:creationId xmlns:a16="http://schemas.microsoft.com/office/drawing/2014/main" id="{70CBB9F2-1E35-473B-A0D0-5D9831DBD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0" name="Picture 2" descr="A TY PPHONG.PNG">
          <a:extLst>
            <a:ext uri="{FF2B5EF4-FFF2-40B4-BE49-F238E27FC236}">
              <a16:creationId xmlns:a16="http://schemas.microsoft.com/office/drawing/2014/main" id="{E17BC11E-0C3A-4C6B-8D0D-2B38FA3AE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1" name="Picture 15830">
          <a:extLst>
            <a:ext uri="{FF2B5EF4-FFF2-40B4-BE49-F238E27FC236}">
              <a16:creationId xmlns:a16="http://schemas.microsoft.com/office/drawing/2014/main" id="{DB423CAB-2A29-4AC5-AD1F-B12B29879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2" name="Picture 15830">
          <a:extLst>
            <a:ext uri="{FF2B5EF4-FFF2-40B4-BE49-F238E27FC236}">
              <a16:creationId xmlns:a16="http://schemas.microsoft.com/office/drawing/2014/main" id="{CB270EB9-FF30-49C9-933C-FA992CDB7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3" name="Picture 2" descr="A TY PPHONG.PNG">
          <a:extLst>
            <a:ext uri="{FF2B5EF4-FFF2-40B4-BE49-F238E27FC236}">
              <a16:creationId xmlns:a16="http://schemas.microsoft.com/office/drawing/2014/main" id="{8A33E9AF-79C3-4D4A-B11D-A5EF0E215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4" name="Picture 15830">
          <a:extLst>
            <a:ext uri="{FF2B5EF4-FFF2-40B4-BE49-F238E27FC236}">
              <a16:creationId xmlns:a16="http://schemas.microsoft.com/office/drawing/2014/main" id="{7D5A7FE8-474F-4FC4-A28C-1A12F4318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5" name="Picture 15830">
          <a:extLst>
            <a:ext uri="{FF2B5EF4-FFF2-40B4-BE49-F238E27FC236}">
              <a16:creationId xmlns:a16="http://schemas.microsoft.com/office/drawing/2014/main" id="{A5764668-C667-41D9-A51B-D985C7F87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6" name="Picture 2" descr="A TY PPHONG.PNG">
          <a:extLst>
            <a:ext uri="{FF2B5EF4-FFF2-40B4-BE49-F238E27FC236}">
              <a16:creationId xmlns:a16="http://schemas.microsoft.com/office/drawing/2014/main" id="{F43F5813-1EB8-4875-967B-5276D6DB6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7" name="Picture 15830">
          <a:extLst>
            <a:ext uri="{FF2B5EF4-FFF2-40B4-BE49-F238E27FC236}">
              <a16:creationId xmlns:a16="http://schemas.microsoft.com/office/drawing/2014/main" id="{33DDF473-EC07-4A1E-8C09-8DCB2EBE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8" name="Picture 15830">
          <a:extLst>
            <a:ext uri="{FF2B5EF4-FFF2-40B4-BE49-F238E27FC236}">
              <a16:creationId xmlns:a16="http://schemas.microsoft.com/office/drawing/2014/main" id="{75D046F4-7C61-4165-A8D8-4E4A00D0B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9" name="Picture 15830">
          <a:extLst>
            <a:ext uri="{FF2B5EF4-FFF2-40B4-BE49-F238E27FC236}">
              <a16:creationId xmlns:a16="http://schemas.microsoft.com/office/drawing/2014/main" id="{CB0CF2C9-0CB0-4BA4-B341-53E11BC54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72649</xdr:colOff>
      <xdr:row>0</xdr:row>
      <xdr:rowOff>0</xdr:rowOff>
    </xdr:to>
    <xdr:pic>
      <xdr:nvPicPr>
        <xdr:cNvPr id="40" name="Picture 2" descr="A TY PPHONG.PNG">
          <a:extLst>
            <a:ext uri="{FF2B5EF4-FFF2-40B4-BE49-F238E27FC236}">
              <a16:creationId xmlns:a16="http://schemas.microsoft.com/office/drawing/2014/main" id="{1E68C046-541F-4CF6-837D-069D63CA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1" name="Picture 15830">
          <a:extLst>
            <a:ext uri="{FF2B5EF4-FFF2-40B4-BE49-F238E27FC236}">
              <a16:creationId xmlns:a16="http://schemas.microsoft.com/office/drawing/2014/main" id="{53AACECB-2DDE-434C-A8DC-F9A55873A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2" name="Picture 15830">
          <a:extLst>
            <a:ext uri="{FF2B5EF4-FFF2-40B4-BE49-F238E27FC236}">
              <a16:creationId xmlns:a16="http://schemas.microsoft.com/office/drawing/2014/main" id="{56B3D8E9-2BC7-4FB5-ADD6-CDD0D103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3" name="Picture 2" descr="A TY PPHONG.PNG">
          <a:extLst>
            <a:ext uri="{FF2B5EF4-FFF2-40B4-BE49-F238E27FC236}">
              <a16:creationId xmlns:a16="http://schemas.microsoft.com/office/drawing/2014/main" id="{5AC896B9-6500-41F4-B40D-4079E60D0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4" name="Picture 15830">
          <a:extLst>
            <a:ext uri="{FF2B5EF4-FFF2-40B4-BE49-F238E27FC236}">
              <a16:creationId xmlns:a16="http://schemas.microsoft.com/office/drawing/2014/main" id="{F03BAC6F-382F-4483-8EF4-FE453ABEC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5" name="Picture 15830">
          <a:extLst>
            <a:ext uri="{FF2B5EF4-FFF2-40B4-BE49-F238E27FC236}">
              <a16:creationId xmlns:a16="http://schemas.microsoft.com/office/drawing/2014/main" id="{B42D022C-6D91-4503-AAF2-7FB71D2A7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6" name="Picture 2" descr="A TY PPHONG.PNG">
          <a:extLst>
            <a:ext uri="{FF2B5EF4-FFF2-40B4-BE49-F238E27FC236}">
              <a16:creationId xmlns:a16="http://schemas.microsoft.com/office/drawing/2014/main" id="{4DE3D2ED-2CA7-41EA-9453-0DB859131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7" name="Picture 15830">
          <a:extLst>
            <a:ext uri="{FF2B5EF4-FFF2-40B4-BE49-F238E27FC236}">
              <a16:creationId xmlns:a16="http://schemas.microsoft.com/office/drawing/2014/main" id="{E4829DCF-9CC9-4526-AAB4-6A721305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8" name="Picture 15830">
          <a:extLst>
            <a:ext uri="{FF2B5EF4-FFF2-40B4-BE49-F238E27FC236}">
              <a16:creationId xmlns:a16="http://schemas.microsoft.com/office/drawing/2014/main" id="{0945C001-17FC-4C33-8645-2234CCEC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9" name="Picture 2" descr="A TY PPHONG.PNG">
          <a:extLst>
            <a:ext uri="{FF2B5EF4-FFF2-40B4-BE49-F238E27FC236}">
              <a16:creationId xmlns:a16="http://schemas.microsoft.com/office/drawing/2014/main" id="{F48865DF-0CED-4D8F-BDF8-A28A403C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0" name="Picture 15830">
          <a:extLst>
            <a:ext uri="{FF2B5EF4-FFF2-40B4-BE49-F238E27FC236}">
              <a16:creationId xmlns:a16="http://schemas.microsoft.com/office/drawing/2014/main" id="{828C630E-22B7-4EAF-A4DE-86A81F97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1" name="Picture 15830">
          <a:extLst>
            <a:ext uri="{FF2B5EF4-FFF2-40B4-BE49-F238E27FC236}">
              <a16:creationId xmlns:a16="http://schemas.microsoft.com/office/drawing/2014/main" id="{C0815BCB-B7C2-45FC-A334-429EE9A6B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2" name="Picture 2" descr="A TY PPHONG.PNG">
          <a:extLst>
            <a:ext uri="{FF2B5EF4-FFF2-40B4-BE49-F238E27FC236}">
              <a16:creationId xmlns:a16="http://schemas.microsoft.com/office/drawing/2014/main" id="{63E742C4-0625-4EB7-9F59-DE99E2622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3" name="Picture 15830">
          <a:extLst>
            <a:ext uri="{FF2B5EF4-FFF2-40B4-BE49-F238E27FC236}">
              <a16:creationId xmlns:a16="http://schemas.microsoft.com/office/drawing/2014/main" id="{1966F77C-5727-4374-AFF4-5B6D6D464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4" name="Picture 15830">
          <a:extLst>
            <a:ext uri="{FF2B5EF4-FFF2-40B4-BE49-F238E27FC236}">
              <a16:creationId xmlns:a16="http://schemas.microsoft.com/office/drawing/2014/main" id="{7B41BED1-006F-4DA4-BD94-E55CC68D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5" name="Picture 2" descr="A TY PPHONG.PNG">
          <a:extLst>
            <a:ext uri="{FF2B5EF4-FFF2-40B4-BE49-F238E27FC236}">
              <a16:creationId xmlns:a16="http://schemas.microsoft.com/office/drawing/2014/main" id="{1BB95473-A1AA-4169-A237-D808CD8C7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6" name="Picture 15830">
          <a:extLst>
            <a:ext uri="{FF2B5EF4-FFF2-40B4-BE49-F238E27FC236}">
              <a16:creationId xmlns:a16="http://schemas.microsoft.com/office/drawing/2014/main" id="{7DBDC32E-580E-4258-86E6-56C59CF28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7" name="Picture 15830">
          <a:extLst>
            <a:ext uri="{FF2B5EF4-FFF2-40B4-BE49-F238E27FC236}">
              <a16:creationId xmlns:a16="http://schemas.microsoft.com/office/drawing/2014/main" id="{3C126DDB-A3D7-4FAD-9F78-FB55F6F14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8" name="Picture 2" descr="A TY PPHONG.PNG">
          <a:extLst>
            <a:ext uri="{FF2B5EF4-FFF2-40B4-BE49-F238E27FC236}">
              <a16:creationId xmlns:a16="http://schemas.microsoft.com/office/drawing/2014/main" id="{D67B754F-C072-4680-AE51-E819D21AF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9" name="Picture 15830">
          <a:extLst>
            <a:ext uri="{FF2B5EF4-FFF2-40B4-BE49-F238E27FC236}">
              <a16:creationId xmlns:a16="http://schemas.microsoft.com/office/drawing/2014/main" id="{71002774-0A35-4C10-9E56-07E51100D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0" name="Picture 15830">
          <a:extLst>
            <a:ext uri="{FF2B5EF4-FFF2-40B4-BE49-F238E27FC236}">
              <a16:creationId xmlns:a16="http://schemas.microsoft.com/office/drawing/2014/main" id="{603EE607-0108-4C6E-8047-86F036887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1" name="Picture 2" descr="A TY PPHONG.PNG">
          <a:extLst>
            <a:ext uri="{FF2B5EF4-FFF2-40B4-BE49-F238E27FC236}">
              <a16:creationId xmlns:a16="http://schemas.microsoft.com/office/drawing/2014/main" id="{2F6599D2-9B82-435E-B64C-1F1094C9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2" name="Picture 15830">
          <a:extLst>
            <a:ext uri="{FF2B5EF4-FFF2-40B4-BE49-F238E27FC236}">
              <a16:creationId xmlns:a16="http://schemas.microsoft.com/office/drawing/2014/main" id="{320F6BAC-0B6C-48D3-BEB8-092565CA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3" name="Picture 15830">
          <a:extLst>
            <a:ext uri="{FF2B5EF4-FFF2-40B4-BE49-F238E27FC236}">
              <a16:creationId xmlns:a16="http://schemas.microsoft.com/office/drawing/2014/main" id="{80742180-EC0E-4D49-9DE3-719DA0C1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4" name="Picture 2" descr="A TY PPHONG.PNG">
          <a:extLst>
            <a:ext uri="{FF2B5EF4-FFF2-40B4-BE49-F238E27FC236}">
              <a16:creationId xmlns:a16="http://schemas.microsoft.com/office/drawing/2014/main" id="{43088684-15EA-4C65-B62E-B993A44B3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5" name="Picture 15830">
          <a:extLst>
            <a:ext uri="{FF2B5EF4-FFF2-40B4-BE49-F238E27FC236}">
              <a16:creationId xmlns:a16="http://schemas.microsoft.com/office/drawing/2014/main" id="{4270B954-E199-4FF7-955E-272117507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6" name="Picture 15830">
          <a:extLst>
            <a:ext uri="{FF2B5EF4-FFF2-40B4-BE49-F238E27FC236}">
              <a16:creationId xmlns:a16="http://schemas.microsoft.com/office/drawing/2014/main" id="{4D0C0EDA-3E7A-4236-9428-55D22D3D5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7" name="Picture 2" descr="A TY PPHONG.PNG">
          <a:extLst>
            <a:ext uri="{FF2B5EF4-FFF2-40B4-BE49-F238E27FC236}">
              <a16:creationId xmlns:a16="http://schemas.microsoft.com/office/drawing/2014/main" id="{88695E1B-665E-44F1-8C7B-303310E55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8" name="Picture 15830">
          <a:extLst>
            <a:ext uri="{FF2B5EF4-FFF2-40B4-BE49-F238E27FC236}">
              <a16:creationId xmlns:a16="http://schemas.microsoft.com/office/drawing/2014/main" id="{89886DE2-CFE4-4D74-9AA3-59E91936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9" name="Picture 15830">
          <a:extLst>
            <a:ext uri="{FF2B5EF4-FFF2-40B4-BE49-F238E27FC236}">
              <a16:creationId xmlns:a16="http://schemas.microsoft.com/office/drawing/2014/main" id="{11C7F2CF-BE1B-457A-8E98-EACCCBC7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0" name="Picture 2" descr="A TY PPHONG.PNG">
          <a:extLst>
            <a:ext uri="{FF2B5EF4-FFF2-40B4-BE49-F238E27FC236}">
              <a16:creationId xmlns:a16="http://schemas.microsoft.com/office/drawing/2014/main" id="{D634DF36-3DC8-4DAB-8042-96A6E4AF0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1" name="Picture 15830">
          <a:extLst>
            <a:ext uri="{FF2B5EF4-FFF2-40B4-BE49-F238E27FC236}">
              <a16:creationId xmlns:a16="http://schemas.microsoft.com/office/drawing/2014/main" id="{749B162A-BB14-4884-B234-A6D22DF13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2" name="Picture 15830">
          <a:extLst>
            <a:ext uri="{FF2B5EF4-FFF2-40B4-BE49-F238E27FC236}">
              <a16:creationId xmlns:a16="http://schemas.microsoft.com/office/drawing/2014/main" id="{A6C6BAF8-68AB-40BC-B9E9-BC11AF88A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3" name="Picture 2" descr="A TY PPHONG.PNG">
          <a:extLst>
            <a:ext uri="{FF2B5EF4-FFF2-40B4-BE49-F238E27FC236}">
              <a16:creationId xmlns:a16="http://schemas.microsoft.com/office/drawing/2014/main" id="{A6381E1D-992B-4D69-945D-7D33380D1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4" name="Picture 15830">
          <a:extLst>
            <a:ext uri="{FF2B5EF4-FFF2-40B4-BE49-F238E27FC236}">
              <a16:creationId xmlns:a16="http://schemas.microsoft.com/office/drawing/2014/main" id="{F3DECE14-70C5-4A0D-883C-267B20C4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5" name="Picture 15830">
          <a:extLst>
            <a:ext uri="{FF2B5EF4-FFF2-40B4-BE49-F238E27FC236}">
              <a16:creationId xmlns:a16="http://schemas.microsoft.com/office/drawing/2014/main" id="{8639C104-5EEC-4E99-B20D-E7C646679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6" name="Picture 2" descr="A TY PPHONG.PNG">
          <a:extLst>
            <a:ext uri="{FF2B5EF4-FFF2-40B4-BE49-F238E27FC236}">
              <a16:creationId xmlns:a16="http://schemas.microsoft.com/office/drawing/2014/main" id="{D4AE47FC-BE99-4B42-BBDE-14F1BF3FA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7" name="Picture 15830">
          <a:extLst>
            <a:ext uri="{FF2B5EF4-FFF2-40B4-BE49-F238E27FC236}">
              <a16:creationId xmlns:a16="http://schemas.microsoft.com/office/drawing/2014/main" id="{5130E584-A3A7-429F-A660-08B518B94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8" name="Picture 15830">
          <a:extLst>
            <a:ext uri="{FF2B5EF4-FFF2-40B4-BE49-F238E27FC236}">
              <a16:creationId xmlns:a16="http://schemas.microsoft.com/office/drawing/2014/main" id="{4F67C0E2-F9ED-4855-B98E-6995D709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9" name="Picture 2" descr="A TY PPHONG.PNG">
          <a:extLst>
            <a:ext uri="{FF2B5EF4-FFF2-40B4-BE49-F238E27FC236}">
              <a16:creationId xmlns:a16="http://schemas.microsoft.com/office/drawing/2014/main" id="{B189764F-8762-483E-AEB5-1DA921BF9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0" name="Picture 15830">
          <a:extLst>
            <a:ext uri="{FF2B5EF4-FFF2-40B4-BE49-F238E27FC236}">
              <a16:creationId xmlns:a16="http://schemas.microsoft.com/office/drawing/2014/main" id="{BFAC7CD8-2E74-4512-835B-7252598E2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1" name="Picture 15830">
          <a:extLst>
            <a:ext uri="{FF2B5EF4-FFF2-40B4-BE49-F238E27FC236}">
              <a16:creationId xmlns:a16="http://schemas.microsoft.com/office/drawing/2014/main" id="{E5464F03-9EEF-4AFF-A94F-A881A179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2" name="Picture 2" descr="A TY PPHONG.PNG">
          <a:extLst>
            <a:ext uri="{FF2B5EF4-FFF2-40B4-BE49-F238E27FC236}">
              <a16:creationId xmlns:a16="http://schemas.microsoft.com/office/drawing/2014/main" id="{766470BA-50A4-4070-B8DC-1DA84FC0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3" name="Picture 15830">
          <a:extLst>
            <a:ext uri="{FF2B5EF4-FFF2-40B4-BE49-F238E27FC236}">
              <a16:creationId xmlns:a16="http://schemas.microsoft.com/office/drawing/2014/main" id="{21163FD5-FA5D-4539-A71E-635D52E53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4" name="Picture 15830">
          <a:extLst>
            <a:ext uri="{FF2B5EF4-FFF2-40B4-BE49-F238E27FC236}">
              <a16:creationId xmlns:a16="http://schemas.microsoft.com/office/drawing/2014/main" id="{B1247B55-11A5-4CB5-9FD3-666C0F21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5" name="Picture 2" descr="A TY PPHONG.PNG">
          <a:extLst>
            <a:ext uri="{FF2B5EF4-FFF2-40B4-BE49-F238E27FC236}">
              <a16:creationId xmlns:a16="http://schemas.microsoft.com/office/drawing/2014/main" id="{D45C7BA8-6F24-4D33-B35A-29F363749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6" name="Picture 15830">
          <a:extLst>
            <a:ext uri="{FF2B5EF4-FFF2-40B4-BE49-F238E27FC236}">
              <a16:creationId xmlns:a16="http://schemas.microsoft.com/office/drawing/2014/main" id="{3280C851-BC85-4409-8DC7-90C50ECB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7" name="Picture 15830">
          <a:extLst>
            <a:ext uri="{FF2B5EF4-FFF2-40B4-BE49-F238E27FC236}">
              <a16:creationId xmlns:a16="http://schemas.microsoft.com/office/drawing/2014/main" id="{3F55D88A-C800-49D1-AD31-ED059ED19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8" name="Picture 2" descr="A TY PPHONG.PNG">
          <a:extLst>
            <a:ext uri="{FF2B5EF4-FFF2-40B4-BE49-F238E27FC236}">
              <a16:creationId xmlns:a16="http://schemas.microsoft.com/office/drawing/2014/main" id="{E8F75273-484D-4C23-B851-E4345CFC5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9" name="Picture 15830">
          <a:extLst>
            <a:ext uri="{FF2B5EF4-FFF2-40B4-BE49-F238E27FC236}">
              <a16:creationId xmlns:a16="http://schemas.microsoft.com/office/drawing/2014/main" id="{FDAD946D-8A63-451D-B51A-18BB30E6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0" name="Picture 15830">
          <a:extLst>
            <a:ext uri="{FF2B5EF4-FFF2-40B4-BE49-F238E27FC236}">
              <a16:creationId xmlns:a16="http://schemas.microsoft.com/office/drawing/2014/main" id="{FEF1FEB3-C1A8-455B-8343-28BE66D11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1" name="Picture 2" descr="A TY PPHONG.PNG">
          <a:extLst>
            <a:ext uri="{FF2B5EF4-FFF2-40B4-BE49-F238E27FC236}">
              <a16:creationId xmlns:a16="http://schemas.microsoft.com/office/drawing/2014/main" id="{097B8A7E-B29D-49CD-8297-ED6A075E6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2" name="Picture 15830">
          <a:extLst>
            <a:ext uri="{FF2B5EF4-FFF2-40B4-BE49-F238E27FC236}">
              <a16:creationId xmlns:a16="http://schemas.microsoft.com/office/drawing/2014/main" id="{E954BF4C-60CF-404E-82CC-83B2836F8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3" name="Picture 15830">
          <a:extLst>
            <a:ext uri="{FF2B5EF4-FFF2-40B4-BE49-F238E27FC236}">
              <a16:creationId xmlns:a16="http://schemas.microsoft.com/office/drawing/2014/main" id="{809F3356-8631-4388-9D40-2231FE93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4" name="Picture 2" descr="A TY PPHONG.PNG">
          <a:extLst>
            <a:ext uri="{FF2B5EF4-FFF2-40B4-BE49-F238E27FC236}">
              <a16:creationId xmlns:a16="http://schemas.microsoft.com/office/drawing/2014/main" id="{0A487633-B9C6-4BFE-83FB-A32A41DBB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5" name="Picture 15830">
          <a:extLst>
            <a:ext uri="{FF2B5EF4-FFF2-40B4-BE49-F238E27FC236}">
              <a16:creationId xmlns:a16="http://schemas.microsoft.com/office/drawing/2014/main" id="{2AF93BB7-3921-401E-AF7E-47369F562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6" name="Picture 15830">
          <a:extLst>
            <a:ext uri="{FF2B5EF4-FFF2-40B4-BE49-F238E27FC236}">
              <a16:creationId xmlns:a16="http://schemas.microsoft.com/office/drawing/2014/main" id="{4B25C980-054D-44F6-8BD4-5E68D6973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7" name="Picture 2" descr="A TY PPHONG.PNG">
          <a:extLst>
            <a:ext uri="{FF2B5EF4-FFF2-40B4-BE49-F238E27FC236}">
              <a16:creationId xmlns:a16="http://schemas.microsoft.com/office/drawing/2014/main" id="{DE9666E9-14D2-49A6-B691-2145687A9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8" name="Picture 15830">
          <a:extLst>
            <a:ext uri="{FF2B5EF4-FFF2-40B4-BE49-F238E27FC236}">
              <a16:creationId xmlns:a16="http://schemas.microsoft.com/office/drawing/2014/main" id="{104DEB8F-6E91-4924-9A3E-B5A5364A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9" name="Picture 15830">
          <a:extLst>
            <a:ext uri="{FF2B5EF4-FFF2-40B4-BE49-F238E27FC236}">
              <a16:creationId xmlns:a16="http://schemas.microsoft.com/office/drawing/2014/main" id="{E024F488-D2EC-4B13-910C-4B181E72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0" name="Picture 2" descr="A TY PPHONG.PNG">
          <a:extLst>
            <a:ext uri="{FF2B5EF4-FFF2-40B4-BE49-F238E27FC236}">
              <a16:creationId xmlns:a16="http://schemas.microsoft.com/office/drawing/2014/main" id="{EB6CFF75-2D18-459A-A107-E4605191D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1" name="Picture 15830">
          <a:extLst>
            <a:ext uri="{FF2B5EF4-FFF2-40B4-BE49-F238E27FC236}">
              <a16:creationId xmlns:a16="http://schemas.microsoft.com/office/drawing/2014/main" id="{31BDB42F-CDBA-47D7-83EF-60BD82D7F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2" name="Picture 2" descr="A TY PPHONG.PNG">
          <a:extLst>
            <a:ext uri="{FF2B5EF4-FFF2-40B4-BE49-F238E27FC236}">
              <a16:creationId xmlns:a16="http://schemas.microsoft.com/office/drawing/2014/main" id="{0763410A-D130-4426-9F61-9762842AC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3" name="Picture 15830">
          <a:extLst>
            <a:ext uri="{FF2B5EF4-FFF2-40B4-BE49-F238E27FC236}">
              <a16:creationId xmlns:a16="http://schemas.microsoft.com/office/drawing/2014/main" id="{5998D943-8A0F-4F66-8519-95A6FF399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4" name="Picture 2" descr="A TY PPHONG.PNG">
          <a:extLst>
            <a:ext uri="{FF2B5EF4-FFF2-40B4-BE49-F238E27FC236}">
              <a16:creationId xmlns:a16="http://schemas.microsoft.com/office/drawing/2014/main" id="{8F01DAF7-52CB-4122-A22C-D0CE8C3E8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5" name="Picture 15830">
          <a:extLst>
            <a:ext uri="{FF2B5EF4-FFF2-40B4-BE49-F238E27FC236}">
              <a16:creationId xmlns:a16="http://schemas.microsoft.com/office/drawing/2014/main" id="{441EDDF0-95B1-4393-B6B1-CCE0A5C20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442830</xdr:colOff>
      <xdr:row>0</xdr:row>
      <xdr:rowOff>0</xdr:rowOff>
    </xdr:to>
    <xdr:pic>
      <xdr:nvPicPr>
        <xdr:cNvPr id="106" name="Picture 2" descr="A TY PPHONG.PNG">
          <a:extLst>
            <a:ext uri="{FF2B5EF4-FFF2-40B4-BE49-F238E27FC236}">
              <a16:creationId xmlns:a16="http://schemas.microsoft.com/office/drawing/2014/main" id="{6700F885-8D16-425E-B23C-70F88F62E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0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7" name="Picture 15830">
          <a:extLst>
            <a:ext uri="{FF2B5EF4-FFF2-40B4-BE49-F238E27FC236}">
              <a16:creationId xmlns:a16="http://schemas.microsoft.com/office/drawing/2014/main" id="{6443F778-737E-458E-9C40-1906EC749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8" name="Picture 15830">
          <a:extLst>
            <a:ext uri="{FF2B5EF4-FFF2-40B4-BE49-F238E27FC236}">
              <a16:creationId xmlns:a16="http://schemas.microsoft.com/office/drawing/2014/main" id="{5622BC36-4DA7-4705-8071-A2063332E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442830</xdr:colOff>
      <xdr:row>0</xdr:row>
      <xdr:rowOff>0</xdr:rowOff>
    </xdr:to>
    <xdr:pic>
      <xdr:nvPicPr>
        <xdr:cNvPr id="109" name="Picture 2" descr="A TY PPHONG.PNG">
          <a:extLst>
            <a:ext uri="{FF2B5EF4-FFF2-40B4-BE49-F238E27FC236}">
              <a16:creationId xmlns:a16="http://schemas.microsoft.com/office/drawing/2014/main" id="{5F7D683E-499D-4AE5-86D2-8216268F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0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0" name="Picture 15830">
          <a:extLst>
            <a:ext uri="{FF2B5EF4-FFF2-40B4-BE49-F238E27FC236}">
              <a16:creationId xmlns:a16="http://schemas.microsoft.com/office/drawing/2014/main" id="{72781F80-50B7-46F3-809C-4AAE994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1" name="Picture 15830">
          <a:extLst>
            <a:ext uri="{FF2B5EF4-FFF2-40B4-BE49-F238E27FC236}">
              <a16:creationId xmlns:a16="http://schemas.microsoft.com/office/drawing/2014/main" id="{2E9EAC24-15D9-4C0F-87CE-CE25C66BC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12" name="Picture 2" descr="A TY PPHONG.PNG">
          <a:extLst>
            <a:ext uri="{FF2B5EF4-FFF2-40B4-BE49-F238E27FC236}">
              <a16:creationId xmlns:a16="http://schemas.microsoft.com/office/drawing/2014/main" id="{C34CA370-6619-4CEE-B661-6BB0136BD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3" name="Picture 15830">
          <a:extLst>
            <a:ext uri="{FF2B5EF4-FFF2-40B4-BE49-F238E27FC236}">
              <a16:creationId xmlns:a16="http://schemas.microsoft.com/office/drawing/2014/main" id="{A314DB6C-2738-4F60-8EFA-26A4AC5B3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4" name="Picture 15830">
          <a:extLst>
            <a:ext uri="{FF2B5EF4-FFF2-40B4-BE49-F238E27FC236}">
              <a16:creationId xmlns:a16="http://schemas.microsoft.com/office/drawing/2014/main" id="{A6844020-D74D-4762-89E4-555D9A259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15" name="Picture 2" descr="A TY PPHONG.PNG">
          <a:extLst>
            <a:ext uri="{FF2B5EF4-FFF2-40B4-BE49-F238E27FC236}">
              <a16:creationId xmlns:a16="http://schemas.microsoft.com/office/drawing/2014/main" id="{C38B6911-156C-4527-9A55-811FD07B9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16" name="Picture 15830">
          <a:extLst>
            <a:ext uri="{FF2B5EF4-FFF2-40B4-BE49-F238E27FC236}">
              <a16:creationId xmlns:a16="http://schemas.microsoft.com/office/drawing/2014/main" id="{2E72F9B4-9BB0-4A7A-814D-EC5C979DD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17" name="Picture 15830">
          <a:extLst>
            <a:ext uri="{FF2B5EF4-FFF2-40B4-BE49-F238E27FC236}">
              <a16:creationId xmlns:a16="http://schemas.microsoft.com/office/drawing/2014/main" id="{71C9C58C-F296-40F4-93EC-DAC79B047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18" name="Picture 2" descr="A TY PPHONG.PNG">
          <a:extLst>
            <a:ext uri="{FF2B5EF4-FFF2-40B4-BE49-F238E27FC236}">
              <a16:creationId xmlns:a16="http://schemas.microsoft.com/office/drawing/2014/main" id="{1847916B-E799-470B-8A8D-B3F41415C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19" name="Picture 15830">
          <a:extLst>
            <a:ext uri="{FF2B5EF4-FFF2-40B4-BE49-F238E27FC236}">
              <a16:creationId xmlns:a16="http://schemas.microsoft.com/office/drawing/2014/main" id="{BFC94DCD-493E-4A5F-BF59-4B23FF42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0" name="Picture 15830">
          <a:extLst>
            <a:ext uri="{FF2B5EF4-FFF2-40B4-BE49-F238E27FC236}">
              <a16:creationId xmlns:a16="http://schemas.microsoft.com/office/drawing/2014/main" id="{3959BCBF-22D5-4978-BC2A-227DC7DDA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21" name="Picture 2" descr="A TY PPHONG.PNG">
          <a:extLst>
            <a:ext uri="{FF2B5EF4-FFF2-40B4-BE49-F238E27FC236}">
              <a16:creationId xmlns:a16="http://schemas.microsoft.com/office/drawing/2014/main" id="{7FE811A5-3C43-4887-82BA-EC2CC153C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2" name="Picture 15830">
          <a:extLst>
            <a:ext uri="{FF2B5EF4-FFF2-40B4-BE49-F238E27FC236}">
              <a16:creationId xmlns:a16="http://schemas.microsoft.com/office/drawing/2014/main" id="{10DEDD2A-7072-40FC-A670-72EBB09D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3" name="Picture 15830">
          <a:extLst>
            <a:ext uri="{FF2B5EF4-FFF2-40B4-BE49-F238E27FC236}">
              <a16:creationId xmlns:a16="http://schemas.microsoft.com/office/drawing/2014/main" id="{C8D5DB8C-8B27-4599-ACE4-DAEC4D720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24" name="Picture 2" descr="A TY PPHONG.PNG">
          <a:extLst>
            <a:ext uri="{FF2B5EF4-FFF2-40B4-BE49-F238E27FC236}">
              <a16:creationId xmlns:a16="http://schemas.microsoft.com/office/drawing/2014/main" id="{4A485623-1A6E-4F79-A733-889E17D74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5" name="Picture 15830">
          <a:extLst>
            <a:ext uri="{FF2B5EF4-FFF2-40B4-BE49-F238E27FC236}">
              <a16:creationId xmlns:a16="http://schemas.microsoft.com/office/drawing/2014/main" id="{4DF1D8A7-CAD1-400D-8BB9-FD0293FBD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6" name="Picture 15830">
          <a:extLst>
            <a:ext uri="{FF2B5EF4-FFF2-40B4-BE49-F238E27FC236}">
              <a16:creationId xmlns:a16="http://schemas.microsoft.com/office/drawing/2014/main" id="{4610B854-9E33-4DB4-8011-1335CF44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27" name="Picture 2" descr="A TY PPHONG.PNG">
          <a:extLst>
            <a:ext uri="{FF2B5EF4-FFF2-40B4-BE49-F238E27FC236}">
              <a16:creationId xmlns:a16="http://schemas.microsoft.com/office/drawing/2014/main" id="{A889790B-5502-4800-BB00-D68FCD462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8" name="Picture 15830">
          <a:extLst>
            <a:ext uri="{FF2B5EF4-FFF2-40B4-BE49-F238E27FC236}">
              <a16:creationId xmlns:a16="http://schemas.microsoft.com/office/drawing/2014/main" id="{B19AB4D5-BBE8-4149-96E2-8F934915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9" name="Picture 15830">
          <a:extLst>
            <a:ext uri="{FF2B5EF4-FFF2-40B4-BE49-F238E27FC236}">
              <a16:creationId xmlns:a16="http://schemas.microsoft.com/office/drawing/2014/main" id="{F85F30AA-0190-438B-9614-51C98294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30" name="Picture 2" descr="A TY PPHONG.PNG">
          <a:extLst>
            <a:ext uri="{FF2B5EF4-FFF2-40B4-BE49-F238E27FC236}">
              <a16:creationId xmlns:a16="http://schemas.microsoft.com/office/drawing/2014/main" id="{AE396765-CD7B-49A6-BC1E-426753E2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1" name="Picture 15830">
          <a:extLst>
            <a:ext uri="{FF2B5EF4-FFF2-40B4-BE49-F238E27FC236}">
              <a16:creationId xmlns:a16="http://schemas.microsoft.com/office/drawing/2014/main" id="{F9D08FB3-7E6F-4121-8D0B-1C696F26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2" name="Picture 15830">
          <a:extLst>
            <a:ext uri="{FF2B5EF4-FFF2-40B4-BE49-F238E27FC236}">
              <a16:creationId xmlns:a16="http://schemas.microsoft.com/office/drawing/2014/main" id="{1199833F-DD97-4A7E-83E6-A7B850027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33" name="Picture 2" descr="A TY PPHONG.PNG">
          <a:extLst>
            <a:ext uri="{FF2B5EF4-FFF2-40B4-BE49-F238E27FC236}">
              <a16:creationId xmlns:a16="http://schemas.microsoft.com/office/drawing/2014/main" id="{0BE0AB30-F5DD-486E-9051-F1AA3DA50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4" name="Picture 15830">
          <a:extLst>
            <a:ext uri="{FF2B5EF4-FFF2-40B4-BE49-F238E27FC236}">
              <a16:creationId xmlns:a16="http://schemas.microsoft.com/office/drawing/2014/main" id="{621D40CD-B92C-4E73-A896-C96597E3C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5" name="Picture 15830">
          <a:extLst>
            <a:ext uri="{FF2B5EF4-FFF2-40B4-BE49-F238E27FC236}">
              <a16:creationId xmlns:a16="http://schemas.microsoft.com/office/drawing/2014/main" id="{3FCEDF39-734E-47C2-A0CA-A85FBBF62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36" name="Picture 2" descr="A TY PPHONG.PNG">
          <a:extLst>
            <a:ext uri="{FF2B5EF4-FFF2-40B4-BE49-F238E27FC236}">
              <a16:creationId xmlns:a16="http://schemas.microsoft.com/office/drawing/2014/main" id="{9C1E87CC-6FF3-405E-AD17-E204CDB1F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7" name="Picture 15830">
          <a:extLst>
            <a:ext uri="{FF2B5EF4-FFF2-40B4-BE49-F238E27FC236}">
              <a16:creationId xmlns:a16="http://schemas.microsoft.com/office/drawing/2014/main" id="{79A966D4-2C2A-4980-B79F-1792F9D04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8" name="Picture 15830">
          <a:extLst>
            <a:ext uri="{FF2B5EF4-FFF2-40B4-BE49-F238E27FC236}">
              <a16:creationId xmlns:a16="http://schemas.microsoft.com/office/drawing/2014/main" id="{A6FB0E04-B9C2-42DF-81D2-4B96C6CF3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39" name="Picture 2" descr="A TY PPHONG.PNG">
          <a:extLst>
            <a:ext uri="{FF2B5EF4-FFF2-40B4-BE49-F238E27FC236}">
              <a16:creationId xmlns:a16="http://schemas.microsoft.com/office/drawing/2014/main" id="{3319D047-32A9-42EC-8A21-2D1FD424F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0" name="Picture 15830">
          <a:extLst>
            <a:ext uri="{FF2B5EF4-FFF2-40B4-BE49-F238E27FC236}">
              <a16:creationId xmlns:a16="http://schemas.microsoft.com/office/drawing/2014/main" id="{CBB7C8CA-E5E5-4499-84A9-44493A342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1" name="Picture 15830">
          <a:extLst>
            <a:ext uri="{FF2B5EF4-FFF2-40B4-BE49-F238E27FC236}">
              <a16:creationId xmlns:a16="http://schemas.microsoft.com/office/drawing/2014/main" id="{D1C42571-2296-4AD4-A3B1-687386F9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42" name="Picture 2" descr="A TY PPHONG.PNG">
          <a:extLst>
            <a:ext uri="{FF2B5EF4-FFF2-40B4-BE49-F238E27FC236}">
              <a16:creationId xmlns:a16="http://schemas.microsoft.com/office/drawing/2014/main" id="{88FF85B3-CE19-4AAA-87F8-7B50FF45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3" name="Picture 15830">
          <a:extLst>
            <a:ext uri="{FF2B5EF4-FFF2-40B4-BE49-F238E27FC236}">
              <a16:creationId xmlns:a16="http://schemas.microsoft.com/office/drawing/2014/main" id="{359A329D-2E94-4CB6-9E1B-A610B0F19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4" name="Picture 15830">
          <a:extLst>
            <a:ext uri="{FF2B5EF4-FFF2-40B4-BE49-F238E27FC236}">
              <a16:creationId xmlns:a16="http://schemas.microsoft.com/office/drawing/2014/main" id="{4CB13277-C08D-4D34-B744-A15473985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45" name="Picture 2" descr="A TY PPHONG.PNG">
          <a:extLst>
            <a:ext uri="{FF2B5EF4-FFF2-40B4-BE49-F238E27FC236}">
              <a16:creationId xmlns:a16="http://schemas.microsoft.com/office/drawing/2014/main" id="{15DAD5CD-531E-4F2D-953E-0EA4B4D97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6" name="Picture 15830">
          <a:extLst>
            <a:ext uri="{FF2B5EF4-FFF2-40B4-BE49-F238E27FC236}">
              <a16:creationId xmlns:a16="http://schemas.microsoft.com/office/drawing/2014/main" id="{E56AEFE1-16E9-4179-BB4D-622F187DA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7" name="Picture 15830">
          <a:extLst>
            <a:ext uri="{FF2B5EF4-FFF2-40B4-BE49-F238E27FC236}">
              <a16:creationId xmlns:a16="http://schemas.microsoft.com/office/drawing/2014/main" id="{A89E2EE8-C54F-4D65-8C54-1EF82D361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48" name="Picture 2" descr="A TY PPHONG.PNG">
          <a:extLst>
            <a:ext uri="{FF2B5EF4-FFF2-40B4-BE49-F238E27FC236}">
              <a16:creationId xmlns:a16="http://schemas.microsoft.com/office/drawing/2014/main" id="{685ACFC4-54D6-42D1-B949-64F39E171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72649</xdr:colOff>
      <xdr:row>0</xdr:row>
      <xdr:rowOff>0</xdr:rowOff>
    </xdr:to>
    <xdr:pic>
      <xdr:nvPicPr>
        <xdr:cNvPr id="149" name="Picture 2" descr="A TY PPHONG.PNG">
          <a:extLst>
            <a:ext uri="{FF2B5EF4-FFF2-40B4-BE49-F238E27FC236}">
              <a16:creationId xmlns:a16="http://schemas.microsoft.com/office/drawing/2014/main" id="{2FB832D0-0C12-4A63-9A77-AD55FFD3D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0" name="Picture 2" descr="A TY PPHONG.PNG">
          <a:extLst>
            <a:ext uri="{FF2B5EF4-FFF2-40B4-BE49-F238E27FC236}">
              <a16:creationId xmlns:a16="http://schemas.microsoft.com/office/drawing/2014/main" id="{D708E82E-F0F5-452C-8CF9-5D165856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1" name="Picture 2" descr="A TY PPHONG.PNG">
          <a:extLst>
            <a:ext uri="{FF2B5EF4-FFF2-40B4-BE49-F238E27FC236}">
              <a16:creationId xmlns:a16="http://schemas.microsoft.com/office/drawing/2014/main" id="{D35207D6-38C2-4842-9CB3-AEBE24D3F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2" name="Picture 2" descr="A TY PPHONG.PNG">
          <a:extLst>
            <a:ext uri="{FF2B5EF4-FFF2-40B4-BE49-F238E27FC236}">
              <a16:creationId xmlns:a16="http://schemas.microsoft.com/office/drawing/2014/main" id="{13D260FF-A4C3-4F04-B0DA-DD402A16A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3" name="Picture 2" descr="A TY PPHONG.PNG">
          <a:extLst>
            <a:ext uri="{FF2B5EF4-FFF2-40B4-BE49-F238E27FC236}">
              <a16:creationId xmlns:a16="http://schemas.microsoft.com/office/drawing/2014/main" id="{8BEC2F2D-311F-43ED-A223-EC8119EF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4" name="Picture 2" descr="A TY PPHONG.PNG">
          <a:extLst>
            <a:ext uri="{FF2B5EF4-FFF2-40B4-BE49-F238E27FC236}">
              <a16:creationId xmlns:a16="http://schemas.microsoft.com/office/drawing/2014/main" id="{07B49D3C-EE7F-4BAD-9DCE-0669520BD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5" name="Picture 2" descr="A TY PPHONG.PNG">
          <a:extLst>
            <a:ext uri="{FF2B5EF4-FFF2-40B4-BE49-F238E27FC236}">
              <a16:creationId xmlns:a16="http://schemas.microsoft.com/office/drawing/2014/main" id="{A744B336-7F24-4436-97DA-6BF25719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6" name="Picture 2" descr="A TY PPHONG.PNG">
          <a:extLst>
            <a:ext uri="{FF2B5EF4-FFF2-40B4-BE49-F238E27FC236}">
              <a16:creationId xmlns:a16="http://schemas.microsoft.com/office/drawing/2014/main" id="{3D2FEB84-8048-4CFD-BBA8-42CD2C877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7" name="Picture 2" descr="A TY PPHONG.PNG">
          <a:extLst>
            <a:ext uri="{FF2B5EF4-FFF2-40B4-BE49-F238E27FC236}">
              <a16:creationId xmlns:a16="http://schemas.microsoft.com/office/drawing/2014/main" id="{6231EEF3-CAC5-404C-B6D4-2997AF296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15</xdr:col>
      <xdr:colOff>171450</xdr:colOff>
      <xdr:row>4</xdr:row>
      <xdr:rowOff>0</xdr:rowOff>
    </xdr:to>
    <xdr:pic>
      <xdr:nvPicPr>
        <xdr:cNvPr id="2" name="Picture 15830">
          <a:extLst>
            <a:ext uri="{FF2B5EF4-FFF2-40B4-BE49-F238E27FC236}">
              <a16:creationId xmlns:a16="http://schemas.microsoft.com/office/drawing/2014/main" id="{B4D43B04-AE83-44FD-8692-AC0C6E07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76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15</xdr:col>
      <xdr:colOff>133350</xdr:colOff>
      <xdr:row>4</xdr:row>
      <xdr:rowOff>0</xdr:rowOff>
    </xdr:to>
    <xdr:pic>
      <xdr:nvPicPr>
        <xdr:cNvPr id="3" name="Picture 15830">
          <a:extLst>
            <a:ext uri="{FF2B5EF4-FFF2-40B4-BE49-F238E27FC236}">
              <a16:creationId xmlns:a16="http://schemas.microsoft.com/office/drawing/2014/main" id="{1A50B5CB-6771-4962-8F67-0582BB45F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385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15</xdr:col>
      <xdr:colOff>133350</xdr:colOff>
      <xdr:row>4</xdr:row>
      <xdr:rowOff>0</xdr:rowOff>
    </xdr:to>
    <xdr:pic>
      <xdr:nvPicPr>
        <xdr:cNvPr id="4" name="Picture 15830">
          <a:extLst>
            <a:ext uri="{FF2B5EF4-FFF2-40B4-BE49-F238E27FC236}">
              <a16:creationId xmlns:a16="http://schemas.microsoft.com/office/drawing/2014/main" id="{D0B226A5-6039-4CDD-84AC-09965BC2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385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17</xdr:col>
      <xdr:colOff>193675</xdr:colOff>
      <xdr:row>5</xdr:row>
      <xdr:rowOff>0</xdr:rowOff>
    </xdr:to>
    <xdr:pic>
      <xdr:nvPicPr>
        <xdr:cNvPr id="5" name="Picture 15830">
          <a:extLst>
            <a:ext uri="{FF2B5EF4-FFF2-40B4-BE49-F238E27FC236}">
              <a16:creationId xmlns:a16="http://schemas.microsoft.com/office/drawing/2014/main" id="{EC03E1EC-F3D5-445D-99BD-D1E8E3946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52705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16</xdr:col>
      <xdr:colOff>165100</xdr:colOff>
      <xdr:row>5</xdr:row>
      <xdr:rowOff>0</xdr:rowOff>
    </xdr:to>
    <xdr:pic>
      <xdr:nvPicPr>
        <xdr:cNvPr id="6" name="Picture 15830">
          <a:extLst>
            <a:ext uri="{FF2B5EF4-FFF2-40B4-BE49-F238E27FC236}">
              <a16:creationId xmlns:a16="http://schemas.microsoft.com/office/drawing/2014/main" id="{8FA7C5AA-DB08-4EB7-8F86-9D7BEF204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45561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7" name="Picture 15830">
          <a:extLst>
            <a:ext uri="{FF2B5EF4-FFF2-40B4-BE49-F238E27FC236}">
              <a16:creationId xmlns:a16="http://schemas.microsoft.com/office/drawing/2014/main" id="{FD2CEE00-0132-45FE-B615-1DF3388CB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8" name="Picture 15830">
          <a:extLst>
            <a:ext uri="{FF2B5EF4-FFF2-40B4-BE49-F238E27FC236}">
              <a16:creationId xmlns:a16="http://schemas.microsoft.com/office/drawing/2014/main" id="{C5C578F3-A9B7-41D7-AF2B-F0ACBF69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17</xdr:col>
      <xdr:colOff>193675</xdr:colOff>
      <xdr:row>5</xdr:row>
      <xdr:rowOff>0</xdr:rowOff>
    </xdr:to>
    <xdr:pic>
      <xdr:nvPicPr>
        <xdr:cNvPr id="9" name="Picture 15830">
          <a:extLst>
            <a:ext uri="{FF2B5EF4-FFF2-40B4-BE49-F238E27FC236}">
              <a16:creationId xmlns:a16="http://schemas.microsoft.com/office/drawing/2014/main" id="{3344524A-1BE3-47E4-A6A3-90F6059BA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52705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16</xdr:col>
      <xdr:colOff>165100</xdr:colOff>
      <xdr:row>5</xdr:row>
      <xdr:rowOff>0</xdr:rowOff>
    </xdr:to>
    <xdr:pic>
      <xdr:nvPicPr>
        <xdr:cNvPr id="10" name="Picture 15830">
          <a:extLst>
            <a:ext uri="{FF2B5EF4-FFF2-40B4-BE49-F238E27FC236}">
              <a16:creationId xmlns:a16="http://schemas.microsoft.com/office/drawing/2014/main" id="{95D0208A-FACC-41D8-B59C-117AD2CD5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45561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1" name="Picture 15830">
          <a:extLst>
            <a:ext uri="{FF2B5EF4-FFF2-40B4-BE49-F238E27FC236}">
              <a16:creationId xmlns:a16="http://schemas.microsoft.com/office/drawing/2014/main" id="{9DA40555-63E5-4C37-881F-3206511D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2" name="Picture 15830">
          <a:extLst>
            <a:ext uri="{FF2B5EF4-FFF2-40B4-BE49-F238E27FC236}">
              <a16:creationId xmlns:a16="http://schemas.microsoft.com/office/drawing/2014/main" id="{F54677BA-648E-4771-8747-A61E62E57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13" name="Picture 15830">
          <a:extLst>
            <a:ext uri="{FF2B5EF4-FFF2-40B4-BE49-F238E27FC236}">
              <a16:creationId xmlns:a16="http://schemas.microsoft.com/office/drawing/2014/main" id="{311B49B8-CB81-43BE-A681-7B4E215B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4" name="Picture 15830">
          <a:extLst>
            <a:ext uri="{FF2B5EF4-FFF2-40B4-BE49-F238E27FC236}">
              <a16:creationId xmlns:a16="http://schemas.microsoft.com/office/drawing/2014/main" id="{C1DB0613-9F2E-44DE-80D1-ACD1EDBB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5" name="Picture 15830">
          <a:extLst>
            <a:ext uri="{FF2B5EF4-FFF2-40B4-BE49-F238E27FC236}">
              <a16:creationId xmlns:a16="http://schemas.microsoft.com/office/drawing/2014/main" id="{FAAFBBA7-CF72-4BE1-93D7-36853422B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16" name="Picture 15830">
          <a:extLst>
            <a:ext uri="{FF2B5EF4-FFF2-40B4-BE49-F238E27FC236}">
              <a16:creationId xmlns:a16="http://schemas.microsoft.com/office/drawing/2014/main" id="{285248D4-08E0-4C2F-8BBA-878CBAF4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460375</xdr:colOff>
      <xdr:row>5</xdr:row>
      <xdr:rowOff>0</xdr:rowOff>
    </xdr:to>
    <xdr:pic>
      <xdr:nvPicPr>
        <xdr:cNvPr id="17" name="Picture 15830">
          <a:extLst>
            <a:ext uri="{FF2B5EF4-FFF2-40B4-BE49-F238E27FC236}">
              <a16:creationId xmlns:a16="http://schemas.microsoft.com/office/drawing/2014/main" id="{DBD3D266-AA12-4C02-AD75-27BDDDD7B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8613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8" name="Picture 15830">
          <a:extLst>
            <a:ext uri="{FF2B5EF4-FFF2-40B4-BE49-F238E27FC236}">
              <a16:creationId xmlns:a16="http://schemas.microsoft.com/office/drawing/2014/main" id="{9DC87AA2-AECB-4A21-A0EB-7DB27024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9" name="Picture 15830">
          <a:extLst>
            <a:ext uri="{FF2B5EF4-FFF2-40B4-BE49-F238E27FC236}">
              <a16:creationId xmlns:a16="http://schemas.microsoft.com/office/drawing/2014/main" id="{076287C7-CADA-41C9-851A-D2D6DD5FE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20" name="Picture 15830">
          <a:extLst>
            <a:ext uri="{FF2B5EF4-FFF2-40B4-BE49-F238E27FC236}">
              <a16:creationId xmlns:a16="http://schemas.microsoft.com/office/drawing/2014/main" id="{3132CF1C-FEB8-40AF-BD8F-8790C145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19</xdr:col>
      <xdr:colOff>384175</xdr:colOff>
      <xdr:row>5</xdr:row>
      <xdr:rowOff>0</xdr:rowOff>
    </xdr:to>
    <xdr:pic>
      <xdr:nvPicPr>
        <xdr:cNvPr id="21" name="Picture 15830">
          <a:extLst>
            <a:ext uri="{FF2B5EF4-FFF2-40B4-BE49-F238E27FC236}">
              <a16:creationId xmlns:a16="http://schemas.microsoft.com/office/drawing/2014/main" id="{2E2A5CB2-1575-4679-B894-0D0FBF79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7851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22" name="Picture 15830">
          <a:extLst>
            <a:ext uri="{FF2B5EF4-FFF2-40B4-BE49-F238E27FC236}">
              <a16:creationId xmlns:a16="http://schemas.microsoft.com/office/drawing/2014/main" id="{AE1AF3D4-0317-411D-920B-7E21E8875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23" name="Picture 15830">
          <a:extLst>
            <a:ext uri="{FF2B5EF4-FFF2-40B4-BE49-F238E27FC236}">
              <a16:creationId xmlns:a16="http://schemas.microsoft.com/office/drawing/2014/main" id="{C09B265B-98A8-4D3E-9438-D9615B6F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24" name="Picture 15830">
          <a:extLst>
            <a:ext uri="{FF2B5EF4-FFF2-40B4-BE49-F238E27FC236}">
              <a16:creationId xmlns:a16="http://schemas.microsoft.com/office/drawing/2014/main" id="{E0A1C5D8-18E5-46E7-93FF-06CE9B263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19</xdr:col>
      <xdr:colOff>384175</xdr:colOff>
      <xdr:row>5</xdr:row>
      <xdr:rowOff>0</xdr:rowOff>
    </xdr:to>
    <xdr:pic>
      <xdr:nvPicPr>
        <xdr:cNvPr id="25" name="Picture 15830">
          <a:extLst>
            <a:ext uri="{FF2B5EF4-FFF2-40B4-BE49-F238E27FC236}">
              <a16:creationId xmlns:a16="http://schemas.microsoft.com/office/drawing/2014/main" id="{EC9F566D-0D08-45B2-BEE8-1E2DE5E0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7851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26" name="Picture 15830">
          <a:extLst>
            <a:ext uri="{FF2B5EF4-FFF2-40B4-BE49-F238E27FC236}">
              <a16:creationId xmlns:a16="http://schemas.microsoft.com/office/drawing/2014/main" id="{B8567199-1DD6-4F0D-B125-BFEE54D4A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27" name="Picture 15830">
          <a:extLst>
            <a:ext uri="{FF2B5EF4-FFF2-40B4-BE49-F238E27FC236}">
              <a16:creationId xmlns:a16="http://schemas.microsoft.com/office/drawing/2014/main" id="{C39C6401-66FE-47B5-803C-326DCCE8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19</xdr:col>
      <xdr:colOff>128508</xdr:colOff>
      <xdr:row>0</xdr:row>
      <xdr:rowOff>0</xdr:rowOff>
    </xdr:to>
    <xdr:pic>
      <xdr:nvPicPr>
        <xdr:cNvPr id="2" name="Picture 15830">
          <a:extLst>
            <a:ext uri="{FF2B5EF4-FFF2-40B4-BE49-F238E27FC236}">
              <a16:creationId xmlns:a16="http://schemas.microsoft.com/office/drawing/2014/main" id="{27708577-35A5-4FFB-86FA-74B41FB0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6300708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442831</xdr:colOff>
      <xdr:row>0</xdr:row>
      <xdr:rowOff>0</xdr:rowOff>
    </xdr:to>
    <xdr:pic>
      <xdr:nvPicPr>
        <xdr:cNvPr id="3" name="Picture 15830">
          <a:extLst>
            <a:ext uri="{FF2B5EF4-FFF2-40B4-BE49-F238E27FC236}">
              <a16:creationId xmlns:a16="http://schemas.microsoft.com/office/drawing/2014/main" id="{65E921EE-905A-4C6F-85F0-788C9D076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5929231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328531</xdr:colOff>
      <xdr:row>0</xdr:row>
      <xdr:rowOff>0</xdr:rowOff>
    </xdr:to>
    <xdr:pic>
      <xdr:nvPicPr>
        <xdr:cNvPr id="4" name="Picture 15830">
          <a:extLst>
            <a:ext uri="{FF2B5EF4-FFF2-40B4-BE49-F238E27FC236}">
              <a16:creationId xmlns:a16="http://schemas.microsoft.com/office/drawing/2014/main" id="{E39FDC58-BA09-480E-984E-3D05A4E9A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5814931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29</xdr:col>
      <xdr:colOff>471406</xdr:colOff>
      <xdr:row>0</xdr:row>
      <xdr:rowOff>0</xdr:rowOff>
    </xdr:to>
    <xdr:pic>
      <xdr:nvPicPr>
        <xdr:cNvPr id="5" name="Picture 15830">
          <a:extLst>
            <a:ext uri="{FF2B5EF4-FFF2-40B4-BE49-F238E27FC236}">
              <a16:creationId xmlns:a16="http://schemas.microsoft.com/office/drawing/2014/main" id="{8C5CE4E0-CFA6-4027-B3AA-54EF7D6BB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3501606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24</xdr:col>
      <xdr:colOff>176132</xdr:colOff>
      <xdr:row>0</xdr:row>
      <xdr:rowOff>0</xdr:rowOff>
    </xdr:to>
    <xdr:pic>
      <xdr:nvPicPr>
        <xdr:cNvPr id="6" name="Picture 15830">
          <a:extLst>
            <a:ext uri="{FF2B5EF4-FFF2-40B4-BE49-F238E27FC236}">
              <a16:creationId xmlns:a16="http://schemas.microsoft.com/office/drawing/2014/main" id="{FE522267-B263-4E0C-B6C6-D81A9EC87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977733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21</xdr:col>
      <xdr:colOff>147556</xdr:colOff>
      <xdr:row>0</xdr:row>
      <xdr:rowOff>0</xdr:rowOff>
    </xdr:to>
    <xdr:pic>
      <xdr:nvPicPr>
        <xdr:cNvPr id="7" name="Picture 15830">
          <a:extLst>
            <a:ext uri="{FF2B5EF4-FFF2-40B4-BE49-F238E27FC236}">
              <a16:creationId xmlns:a16="http://schemas.microsoft.com/office/drawing/2014/main" id="{67BAE91D-7259-4B91-A947-FC0FC489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7691356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38</xdr:col>
      <xdr:colOff>452357</xdr:colOff>
      <xdr:row>0</xdr:row>
      <xdr:rowOff>0</xdr:rowOff>
    </xdr:to>
    <xdr:pic>
      <xdr:nvPicPr>
        <xdr:cNvPr id="8" name="Picture 15830">
          <a:extLst>
            <a:ext uri="{FF2B5EF4-FFF2-40B4-BE49-F238E27FC236}">
              <a16:creationId xmlns:a16="http://schemas.microsoft.com/office/drawing/2014/main" id="{92989BA1-2297-4F6F-8CB2-5B70816B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965475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27</xdr:col>
      <xdr:colOff>547608</xdr:colOff>
      <xdr:row>0</xdr:row>
      <xdr:rowOff>0</xdr:rowOff>
    </xdr:to>
    <xdr:pic>
      <xdr:nvPicPr>
        <xdr:cNvPr id="9" name="Picture 15830">
          <a:extLst>
            <a:ext uri="{FF2B5EF4-FFF2-40B4-BE49-F238E27FC236}">
              <a16:creationId xmlns:a16="http://schemas.microsoft.com/office/drawing/2014/main" id="{BF22F0D8-89B6-4B13-80BE-DA912633B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2206208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" name="Picture 15830">
          <a:extLst>
            <a:ext uri="{FF2B5EF4-FFF2-40B4-BE49-F238E27FC236}">
              <a16:creationId xmlns:a16="http://schemas.microsoft.com/office/drawing/2014/main" id="{84380901-C008-45C4-B7CD-7A96E177A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" name="Picture 15830">
          <a:extLst>
            <a:ext uri="{FF2B5EF4-FFF2-40B4-BE49-F238E27FC236}">
              <a16:creationId xmlns:a16="http://schemas.microsoft.com/office/drawing/2014/main" id="{CD9AA82D-81E9-4C8B-8A40-96BC5AC7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2" name="Picture 2" descr="A TY PPHONG.PNG">
          <a:extLst>
            <a:ext uri="{FF2B5EF4-FFF2-40B4-BE49-F238E27FC236}">
              <a16:creationId xmlns:a16="http://schemas.microsoft.com/office/drawing/2014/main" id="{61D041DF-EFD4-4EE9-AA0A-37E508901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3" name="Picture 2" descr="A TY PPHONG.PNG">
          <a:extLst>
            <a:ext uri="{FF2B5EF4-FFF2-40B4-BE49-F238E27FC236}">
              <a16:creationId xmlns:a16="http://schemas.microsoft.com/office/drawing/2014/main" id="{4B217B9C-4E2E-4366-86FC-B8DE1D098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4" name="Picture 15830">
          <a:extLst>
            <a:ext uri="{FF2B5EF4-FFF2-40B4-BE49-F238E27FC236}">
              <a16:creationId xmlns:a16="http://schemas.microsoft.com/office/drawing/2014/main" id="{E3F4F374-C4DB-4B7B-82A6-291FC51A8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5" name="Picture 15830">
          <a:extLst>
            <a:ext uri="{FF2B5EF4-FFF2-40B4-BE49-F238E27FC236}">
              <a16:creationId xmlns:a16="http://schemas.microsoft.com/office/drawing/2014/main" id="{B7C80ACD-8D2A-4F01-93E3-25EF13C6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6" name="Picture 2" descr="A TY PPHONG.PNG">
          <a:extLst>
            <a:ext uri="{FF2B5EF4-FFF2-40B4-BE49-F238E27FC236}">
              <a16:creationId xmlns:a16="http://schemas.microsoft.com/office/drawing/2014/main" id="{3D2ED915-EE37-49CA-BEC0-14B73A06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7" name="Picture 2" descr="A TY PPHONG.PNG">
          <a:extLst>
            <a:ext uri="{FF2B5EF4-FFF2-40B4-BE49-F238E27FC236}">
              <a16:creationId xmlns:a16="http://schemas.microsoft.com/office/drawing/2014/main" id="{3B6A46E4-81C1-4A15-B7B1-DE6209FAE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8" name="Picture 2" descr="A TY PPHONG.PNG">
          <a:extLst>
            <a:ext uri="{FF2B5EF4-FFF2-40B4-BE49-F238E27FC236}">
              <a16:creationId xmlns:a16="http://schemas.microsoft.com/office/drawing/2014/main" id="{1BF2D5E7-1B69-4B4F-8685-C3C9C8F6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9" name="Picture 2" descr="A TY PPHONG.PNG">
          <a:extLst>
            <a:ext uri="{FF2B5EF4-FFF2-40B4-BE49-F238E27FC236}">
              <a16:creationId xmlns:a16="http://schemas.microsoft.com/office/drawing/2014/main" id="{2427FC46-CCDA-4ECD-B473-5F14BC635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0" name="Picture 2" descr="A TY PPHONG.PNG">
          <a:extLst>
            <a:ext uri="{FF2B5EF4-FFF2-40B4-BE49-F238E27FC236}">
              <a16:creationId xmlns:a16="http://schemas.microsoft.com/office/drawing/2014/main" id="{8E4A1B5F-624F-455C-95D9-F8840A22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1" name="Picture 2" descr="A TY PPHONG.PNG">
          <a:extLst>
            <a:ext uri="{FF2B5EF4-FFF2-40B4-BE49-F238E27FC236}">
              <a16:creationId xmlns:a16="http://schemas.microsoft.com/office/drawing/2014/main" id="{F4C3337E-49B6-4995-9647-C11CEC28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2" name="Picture 2" descr="A TY PPHONG.PNG">
          <a:extLst>
            <a:ext uri="{FF2B5EF4-FFF2-40B4-BE49-F238E27FC236}">
              <a16:creationId xmlns:a16="http://schemas.microsoft.com/office/drawing/2014/main" id="{6F2D743C-959E-4FC0-9718-EA95A55ED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3" name="Picture 2" descr="A TY PPHONG.PNG">
          <a:extLst>
            <a:ext uri="{FF2B5EF4-FFF2-40B4-BE49-F238E27FC236}">
              <a16:creationId xmlns:a16="http://schemas.microsoft.com/office/drawing/2014/main" id="{B4A6A513-ECCB-45CA-AD6E-AC02E1C03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4" name="Picture 2" descr="A TY PPHONG.PNG">
          <a:extLst>
            <a:ext uri="{FF2B5EF4-FFF2-40B4-BE49-F238E27FC236}">
              <a16:creationId xmlns:a16="http://schemas.microsoft.com/office/drawing/2014/main" id="{FD07F9C6-F81A-468D-A045-6A615299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5" name="Picture 2" descr="A TY PPHONG.PNG">
          <a:extLst>
            <a:ext uri="{FF2B5EF4-FFF2-40B4-BE49-F238E27FC236}">
              <a16:creationId xmlns:a16="http://schemas.microsoft.com/office/drawing/2014/main" id="{06E77B4C-837D-4464-9E7A-F24ACD1D7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6" name="Picture 15830">
          <a:extLst>
            <a:ext uri="{FF2B5EF4-FFF2-40B4-BE49-F238E27FC236}">
              <a16:creationId xmlns:a16="http://schemas.microsoft.com/office/drawing/2014/main" id="{9D676AED-D257-44C4-B898-92C51D23D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7" name="Picture 2" descr="A TY PPHONG.PNG">
          <a:extLst>
            <a:ext uri="{FF2B5EF4-FFF2-40B4-BE49-F238E27FC236}">
              <a16:creationId xmlns:a16="http://schemas.microsoft.com/office/drawing/2014/main" id="{0FAD2B00-A06D-4724-8738-C7606C7A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8" name="Picture 15830">
          <a:extLst>
            <a:ext uri="{FF2B5EF4-FFF2-40B4-BE49-F238E27FC236}">
              <a16:creationId xmlns:a16="http://schemas.microsoft.com/office/drawing/2014/main" id="{74B5CA62-7B46-4B1A-AFD7-4661B9A1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9" name="Picture 15830">
          <a:extLst>
            <a:ext uri="{FF2B5EF4-FFF2-40B4-BE49-F238E27FC236}">
              <a16:creationId xmlns:a16="http://schemas.microsoft.com/office/drawing/2014/main" id="{2ADEC471-E5FD-4C0E-AB30-88A730D88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0" name="Picture 2" descr="A TY PPHONG.PNG">
          <a:extLst>
            <a:ext uri="{FF2B5EF4-FFF2-40B4-BE49-F238E27FC236}">
              <a16:creationId xmlns:a16="http://schemas.microsoft.com/office/drawing/2014/main" id="{32845882-6A7D-4973-AD38-FCB4A97C4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1" name="Picture 15830">
          <a:extLst>
            <a:ext uri="{FF2B5EF4-FFF2-40B4-BE49-F238E27FC236}">
              <a16:creationId xmlns:a16="http://schemas.microsoft.com/office/drawing/2014/main" id="{C98F7DF6-AAE1-43CC-B50A-9DDCD0D1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2" name="Picture 15830">
          <a:extLst>
            <a:ext uri="{FF2B5EF4-FFF2-40B4-BE49-F238E27FC236}">
              <a16:creationId xmlns:a16="http://schemas.microsoft.com/office/drawing/2014/main" id="{F7C40802-19EB-4560-BC22-FC882952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3" name="Picture 2" descr="A TY PPHONG.PNG">
          <a:extLst>
            <a:ext uri="{FF2B5EF4-FFF2-40B4-BE49-F238E27FC236}">
              <a16:creationId xmlns:a16="http://schemas.microsoft.com/office/drawing/2014/main" id="{39976AEE-175C-42F1-BD61-975E28384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4" name="Picture 15830">
          <a:extLst>
            <a:ext uri="{FF2B5EF4-FFF2-40B4-BE49-F238E27FC236}">
              <a16:creationId xmlns:a16="http://schemas.microsoft.com/office/drawing/2014/main" id="{4B75D8DE-B69C-45EA-95CE-457A2CEA2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5" name="Picture 15830">
          <a:extLst>
            <a:ext uri="{FF2B5EF4-FFF2-40B4-BE49-F238E27FC236}">
              <a16:creationId xmlns:a16="http://schemas.microsoft.com/office/drawing/2014/main" id="{B9B1487C-74CF-407D-88AC-37D50822C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6" name="Picture 2" descr="A TY PPHONG.PNG">
          <a:extLst>
            <a:ext uri="{FF2B5EF4-FFF2-40B4-BE49-F238E27FC236}">
              <a16:creationId xmlns:a16="http://schemas.microsoft.com/office/drawing/2014/main" id="{02B8AA7F-C073-4C28-B560-32D8F6096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7" name="Picture 15830">
          <a:extLst>
            <a:ext uri="{FF2B5EF4-FFF2-40B4-BE49-F238E27FC236}">
              <a16:creationId xmlns:a16="http://schemas.microsoft.com/office/drawing/2014/main" id="{958F1C95-314C-4FDB-9D08-B6330A46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8" name="Picture 15830">
          <a:extLst>
            <a:ext uri="{FF2B5EF4-FFF2-40B4-BE49-F238E27FC236}">
              <a16:creationId xmlns:a16="http://schemas.microsoft.com/office/drawing/2014/main" id="{7ABC5147-B47D-4FBF-AEEA-C46A66D3A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9" name="Picture 15830">
          <a:extLst>
            <a:ext uri="{FF2B5EF4-FFF2-40B4-BE49-F238E27FC236}">
              <a16:creationId xmlns:a16="http://schemas.microsoft.com/office/drawing/2014/main" id="{021264EE-95E7-476B-9A28-F15C58E2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72649</xdr:colOff>
      <xdr:row>0</xdr:row>
      <xdr:rowOff>0</xdr:rowOff>
    </xdr:to>
    <xdr:pic>
      <xdr:nvPicPr>
        <xdr:cNvPr id="40" name="Picture 2" descr="A TY PPHONG.PNG">
          <a:extLst>
            <a:ext uri="{FF2B5EF4-FFF2-40B4-BE49-F238E27FC236}">
              <a16:creationId xmlns:a16="http://schemas.microsoft.com/office/drawing/2014/main" id="{32E1AE64-3F05-4A90-962B-2BBF3C805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1" name="Picture 15830">
          <a:extLst>
            <a:ext uri="{FF2B5EF4-FFF2-40B4-BE49-F238E27FC236}">
              <a16:creationId xmlns:a16="http://schemas.microsoft.com/office/drawing/2014/main" id="{F89DFC47-2952-4264-8357-A7A4AED5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2" name="Picture 15830">
          <a:extLst>
            <a:ext uri="{FF2B5EF4-FFF2-40B4-BE49-F238E27FC236}">
              <a16:creationId xmlns:a16="http://schemas.microsoft.com/office/drawing/2014/main" id="{09A3AA81-85AD-4D9E-9393-494850EB5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3" name="Picture 2" descr="A TY PPHONG.PNG">
          <a:extLst>
            <a:ext uri="{FF2B5EF4-FFF2-40B4-BE49-F238E27FC236}">
              <a16:creationId xmlns:a16="http://schemas.microsoft.com/office/drawing/2014/main" id="{0B94821F-07C6-4EE6-BA04-70C9AEF9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4" name="Picture 15830">
          <a:extLst>
            <a:ext uri="{FF2B5EF4-FFF2-40B4-BE49-F238E27FC236}">
              <a16:creationId xmlns:a16="http://schemas.microsoft.com/office/drawing/2014/main" id="{DB6DC12B-1216-492F-81A7-36A3840B5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5" name="Picture 15830">
          <a:extLst>
            <a:ext uri="{FF2B5EF4-FFF2-40B4-BE49-F238E27FC236}">
              <a16:creationId xmlns:a16="http://schemas.microsoft.com/office/drawing/2014/main" id="{FA376790-29BA-4736-9A8F-4FE5846E6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6" name="Picture 2" descr="A TY PPHONG.PNG">
          <a:extLst>
            <a:ext uri="{FF2B5EF4-FFF2-40B4-BE49-F238E27FC236}">
              <a16:creationId xmlns:a16="http://schemas.microsoft.com/office/drawing/2014/main" id="{68F09B29-C082-4365-A51F-A0CB90F1C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7" name="Picture 15830">
          <a:extLst>
            <a:ext uri="{FF2B5EF4-FFF2-40B4-BE49-F238E27FC236}">
              <a16:creationId xmlns:a16="http://schemas.microsoft.com/office/drawing/2014/main" id="{41FE2CAF-512C-462B-A76C-835CB31FB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8" name="Picture 15830">
          <a:extLst>
            <a:ext uri="{FF2B5EF4-FFF2-40B4-BE49-F238E27FC236}">
              <a16:creationId xmlns:a16="http://schemas.microsoft.com/office/drawing/2014/main" id="{4663BFCA-8DCD-457F-9A03-7E88281EB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9" name="Picture 2" descr="A TY PPHONG.PNG">
          <a:extLst>
            <a:ext uri="{FF2B5EF4-FFF2-40B4-BE49-F238E27FC236}">
              <a16:creationId xmlns:a16="http://schemas.microsoft.com/office/drawing/2014/main" id="{5C12EE42-3AE0-4A61-9ED7-F2F3514FC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0" name="Picture 15830">
          <a:extLst>
            <a:ext uri="{FF2B5EF4-FFF2-40B4-BE49-F238E27FC236}">
              <a16:creationId xmlns:a16="http://schemas.microsoft.com/office/drawing/2014/main" id="{14AB084C-3EE5-41DD-96ED-9909AD540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1" name="Picture 15830">
          <a:extLst>
            <a:ext uri="{FF2B5EF4-FFF2-40B4-BE49-F238E27FC236}">
              <a16:creationId xmlns:a16="http://schemas.microsoft.com/office/drawing/2014/main" id="{1174BB9B-AF35-469D-86C8-0D7444842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2" name="Picture 2" descr="A TY PPHONG.PNG">
          <a:extLst>
            <a:ext uri="{FF2B5EF4-FFF2-40B4-BE49-F238E27FC236}">
              <a16:creationId xmlns:a16="http://schemas.microsoft.com/office/drawing/2014/main" id="{C68E0764-DCD4-40F6-81CC-5FAA55BE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3" name="Picture 15830">
          <a:extLst>
            <a:ext uri="{FF2B5EF4-FFF2-40B4-BE49-F238E27FC236}">
              <a16:creationId xmlns:a16="http://schemas.microsoft.com/office/drawing/2014/main" id="{8BF15AF8-713E-4A2C-9B05-55BF979B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4" name="Picture 15830">
          <a:extLst>
            <a:ext uri="{FF2B5EF4-FFF2-40B4-BE49-F238E27FC236}">
              <a16:creationId xmlns:a16="http://schemas.microsoft.com/office/drawing/2014/main" id="{06C33A98-262D-47E0-ABBF-E41456EB7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5" name="Picture 2" descr="A TY PPHONG.PNG">
          <a:extLst>
            <a:ext uri="{FF2B5EF4-FFF2-40B4-BE49-F238E27FC236}">
              <a16:creationId xmlns:a16="http://schemas.microsoft.com/office/drawing/2014/main" id="{E0F4BB0A-84C9-482F-A428-F4E2CC3B0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6" name="Picture 15830">
          <a:extLst>
            <a:ext uri="{FF2B5EF4-FFF2-40B4-BE49-F238E27FC236}">
              <a16:creationId xmlns:a16="http://schemas.microsoft.com/office/drawing/2014/main" id="{5A2CCEDE-F325-4F4A-BADE-C86E608EC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7" name="Picture 15830">
          <a:extLst>
            <a:ext uri="{FF2B5EF4-FFF2-40B4-BE49-F238E27FC236}">
              <a16:creationId xmlns:a16="http://schemas.microsoft.com/office/drawing/2014/main" id="{0857BEED-7D5F-4F04-9F96-29F8C90B7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8" name="Picture 2" descr="A TY PPHONG.PNG">
          <a:extLst>
            <a:ext uri="{FF2B5EF4-FFF2-40B4-BE49-F238E27FC236}">
              <a16:creationId xmlns:a16="http://schemas.microsoft.com/office/drawing/2014/main" id="{A9B9132B-6EC2-4B69-A540-2E91DA247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9" name="Picture 15830">
          <a:extLst>
            <a:ext uri="{FF2B5EF4-FFF2-40B4-BE49-F238E27FC236}">
              <a16:creationId xmlns:a16="http://schemas.microsoft.com/office/drawing/2014/main" id="{280AF337-BE12-4D93-B27A-3CC8F0DA3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0" name="Picture 15830">
          <a:extLst>
            <a:ext uri="{FF2B5EF4-FFF2-40B4-BE49-F238E27FC236}">
              <a16:creationId xmlns:a16="http://schemas.microsoft.com/office/drawing/2014/main" id="{2E45A38D-D73F-4DD5-BD2A-C7B4003B7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1" name="Picture 2" descr="A TY PPHONG.PNG">
          <a:extLst>
            <a:ext uri="{FF2B5EF4-FFF2-40B4-BE49-F238E27FC236}">
              <a16:creationId xmlns:a16="http://schemas.microsoft.com/office/drawing/2014/main" id="{AE023EB3-EA13-4CED-A413-74BA584F0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2" name="Picture 15830">
          <a:extLst>
            <a:ext uri="{FF2B5EF4-FFF2-40B4-BE49-F238E27FC236}">
              <a16:creationId xmlns:a16="http://schemas.microsoft.com/office/drawing/2014/main" id="{67A40840-3421-4471-8927-91C7F3FDD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3" name="Picture 15830">
          <a:extLst>
            <a:ext uri="{FF2B5EF4-FFF2-40B4-BE49-F238E27FC236}">
              <a16:creationId xmlns:a16="http://schemas.microsoft.com/office/drawing/2014/main" id="{D719C819-864F-4D32-9934-8FC1E8D8B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4" name="Picture 2" descr="A TY PPHONG.PNG">
          <a:extLst>
            <a:ext uri="{FF2B5EF4-FFF2-40B4-BE49-F238E27FC236}">
              <a16:creationId xmlns:a16="http://schemas.microsoft.com/office/drawing/2014/main" id="{646B14CC-D48A-40CC-B222-630E3A1AD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5" name="Picture 15830">
          <a:extLst>
            <a:ext uri="{FF2B5EF4-FFF2-40B4-BE49-F238E27FC236}">
              <a16:creationId xmlns:a16="http://schemas.microsoft.com/office/drawing/2014/main" id="{67B59229-47DB-42A7-978B-C02DC8FF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6" name="Picture 15830">
          <a:extLst>
            <a:ext uri="{FF2B5EF4-FFF2-40B4-BE49-F238E27FC236}">
              <a16:creationId xmlns:a16="http://schemas.microsoft.com/office/drawing/2014/main" id="{9C5FE90C-1A46-4755-A937-2B43E221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7" name="Picture 2" descr="A TY PPHONG.PNG">
          <a:extLst>
            <a:ext uri="{FF2B5EF4-FFF2-40B4-BE49-F238E27FC236}">
              <a16:creationId xmlns:a16="http://schemas.microsoft.com/office/drawing/2014/main" id="{91F297B1-675B-43A9-B288-F9400589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8" name="Picture 15830">
          <a:extLst>
            <a:ext uri="{FF2B5EF4-FFF2-40B4-BE49-F238E27FC236}">
              <a16:creationId xmlns:a16="http://schemas.microsoft.com/office/drawing/2014/main" id="{B6407F3E-CA34-4068-955C-50C70A86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9" name="Picture 15830">
          <a:extLst>
            <a:ext uri="{FF2B5EF4-FFF2-40B4-BE49-F238E27FC236}">
              <a16:creationId xmlns:a16="http://schemas.microsoft.com/office/drawing/2014/main" id="{44ECA69E-B8FA-48E3-A038-6AA2D398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0" name="Picture 2" descr="A TY PPHONG.PNG">
          <a:extLst>
            <a:ext uri="{FF2B5EF4-FFF2-40B4-BE49-F238E27FC236}">
              <a16:creationId xmlns:a16="http://schemas.microsoft.com/office/drawing/2014/main" id="{DA1992EE-935A-410E-BD7B-CDA8384BF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1" name="Picture 15830">
          <a:extLst>
            <a:ext uri="{FF2B5EF4-FFF2-40B4-BE49-F238E27FC236}">
              <a16:creationId xmlns:a16="http://schemas.microsoft.com/office/drawing/2014/main" id="{AABB32C7-E247-43BC-B0C3-1E2A0982E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2" name="Picture 15830">
          <a:extLst>
            <a:ext uri="{FF2B5EF4-FFF2-40B4-BE49-F238E27FC236}">
              <a16:creationId xmlns:a16="http://schemas.microsoft.com/office/drawing/2014/main" id="{5A052EEC-4951-4780-8489-D329542DC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3" name="Picture 2" descr="A TY PPHONG.PNG">
          <a:extLst>
            <a:ext uri="{FF2B5EF4-FFF2-40B4-BE49-F238E27FC236}">
              <a16:creationId xmlns:a16="http://schemas.microsoft.com/office/drawing/2014/main" id="{4602BE52-98C6-459E-AA5F-543CF30F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4" name="Picture 15830">
          <a:extLst>
            <a:ext uri="{FF2B5EF4-FFF2-40B4-BE49-F238E27FC236}">
              <a16:creationId xmlns:a16="http://schemas.microsoft.com/office/drawing/2014/main" id="{FE116AA3-6B59-4E0B-8E9F-8DB293AB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5" name="Picture 15830">
          <a:extLst>
            <a:ext uri="{FF2B5EF4-FFF2-40B4-BE49-F238E27FC236}">
              <a16:creationId xmlns:a16="http://schemas.microsoft.com/office/drawing/2014/main" id="{34339E88-D111-4710-9249-B4CD2C87B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6" name="Picture 2" descr="A TY PPHONG.PNG">
          <a:extLst>
            <a:ext uri="{FF2B5EF4-FFF2-40B4-BE49-F238E27FC236}">
              <a16:creationId xmlns:a16="http://schemas.microsoft.com/office/drawing/2014/main" id="{134FF86F-8F3A-4CDD-8B87-1F5099F3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7" name="Picture 15830">
          <a:extLst>
            <a:ext uri="{FF2B5EF4-FFF2-40B4-BE49-F238E27FC236}">
              <a16:creationId xmlns:a16="http://schemas.microsoft.com/office/drawing/2014/main" id="{5CA9E266-9DE7-4038-BED3-B5F15DB7A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8" name="Picture 15830">
          <a:extLst>
            <a:ext uri="{FF2B5EF4-FFF2-40B4-BE49-F238E27FC236}">
              <a16:creationId xmlns:a16="http://schemas.microsoft.com/office/drawing/2014/main" id="{7961914E-7964-47FD-9503-9BDF0DF5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9" name="Picture 2" descr="A TY PPHONG.PNG">
          <a:extLst>
            <a:ext uri="{FF2B5EF4-FFF2-40B4-BE49-F238E27FC236}">
              <a16:creationId xmlns:a16="http://schemas.microsoft.com/office/drawing/2014/main" id="{876C595F-DFFF-4615-8001-08B3AFA36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0" name="Picture 15830">
          <a:extLst>
            <a:ext uri="{FF2B5EF4-FFF2-40B4-BE49-F238E27FC236}">
              <a16:creationId xmlns:a16="http://schemas.microsoft.com/office/drawing/2014/main" id="{235CF64D-220C-4160-A340-0A0C762D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1" name="Picture 15830">
          <a:extLst>
            <a:ext uri="{FF2B5EF4-FFF2-40B4-BE49-F238E27FC236}">
              <a16:creationId xmlns:a16="http://schemas.microsoft.com/office/drawing/2014/main" id="{845FB733-A7DD-4E36-BB4D-4F8247658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2" name="Picture 2" descr="A TY PPHONG.PNG">
          <a:extLst>
            <a:ext uri="{FF2B5EF4-FFF2-40B4-BE49-F238E27FC236}">
              <a16:creationId xmlns:a16="http://schemas.microsoft.com/office/drawing/2014/main" id="{CEAC8D2B-0013-46BC-A8EF-045AC0532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3" name="Picture 15830">
          <a:extLst>
            <a:ext uri="{FF2B5EF4-FFF2-40B4-BE49-F238E27FC236}">
              <a16:creationId xmlns:a16="http://schemas.microsoft.com/office/drawing/2014/main" id="{049CC6B7-F5EB-415A-92C2-B2B2D3F6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4" name="Picture 15830">
          <a:extLst>
            <a:ext uri="{FF2B5EF4-FFF2-40B4-BE49-F238E27FC236}">
              <a16:creationId xmlns:a16="http://schemas.microsoft.com/office/drawing/2014/main" id="{B46F6CE8-C58A-4F13-89D4-DF4F4ECD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5" name="Picture 2" descr="A TY PPHONG.PNG">
          <a:extLst>
            <a:ext uri="{FF2B5EF4-FFF2-40B4-BE49-F238E27FC236}">
              <a16:creationId xmlns:a16="http://schemas.microsoft.com/office/drawing/2014/main" id="{700BBAE3-94BE-48D6-9239-E528FCFEB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6" name="Picture 15830">
          <a:extLst>
            <a:ext uri="{FF2B5EF4-FFF2-40B4-BE49-F238E27FC236}">
              <a16:creationId xmlns:a16="http://schemas.microsoft.com/office/drawing/2014/main" id="{07EF567D-8CDB-4657-A1B8-1CA90C3D9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7" name="Picture 15830">
          <a:extLst>
            <a:ext uri="{FF2B5EF4-FFF2-40B4-BE49-F238E27FC236}">
              <a16:creationId xmlns:a16="http://schemas.microsoft.com/office/drawing/2014/main" id="{5A3E19B5-40C1-480D-B8B7-633DF29C8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8" name="Picture 2" descr="A TY PPHONG.PNG">
          <a:extLst>
            <a:ext uri="{FF2B5EF4-FFF2-40B4-BE49-F238E27FC236}">
              <a16:creationId xmlns:a16="http://schemas.microsoft.com/office/drawing/2014/main" id="{883712DA-B0A1-4812-91BB-C4DD6C513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9" name="Picture 15830">
          <a:extLst>
            <a:ext uri="{FF2B5EF4-FFF2-40B4-BE49-F238E27FC236}">
              <a16:creationId xmlns:a16="http://schemas.microsoft.com/office/drawing/2014/main" id="{16635665-9C8F-4F4E-9BC4-068B7897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0" name="Picture 15830">
          <a:extLst>
            <a:ext uri="{FF2B5EF4-FFF2-40B4-BE49-F238E27FC236}">
              <a16:creationId xmlns:a16="http://schemas.microsoft.com/office/drawing/2014/main" id="{65F3DD14-89EB-41A2-AF04-1EDA589B2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1" name="Picture 2" descr="A TY PPHONG.PNG">
          <a:extLst>
            <a:ext uri="{FF2B5EF4-FFF2-40B4-BE49-F238E27FC236}">
              <a16:creationId xmlns:a16="http://schemas.microsoft.com/office/drawing/2014/main" id="{4DC1E22E-4F7A-4673-8E87-8863BA55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2" name="Picture 15830">
          <a:extLst>
            <a:ext uri="{FF2B5EF4-FFF2-40B4-BE49-F238E27FC236}">
              <a16:creationId xmlns:a16="http://schemas.microsoft.com/office/drawing/2014/main" id="{2099CC42-E274-4D19-A64B-AED18752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3" name="Picture 15830">
          <a:extLst>
            <a:ext uri="{FF2B5EF4-FFF2-40B4-BE49-F238E27FC236}">
              <a16:creationId xmlns:a16="http://schemas.microsoft.com/office/drawing/2014/main" id="{694795A4-92E8-4BBB-8F07-0AFD6B2F0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4" name="Picture 2" descr="A TY PPHONG.PNG">
          <a:extLst>
            <a:ext uri="{FF2B5EF4-FFF2-40B4-BE49-F238E27FC236}">
              <a16:creationId xmlns:a16="http://schemas.microsoft.com/office/drawing/2014/main" id="{4F9739BC-6199-48E0-BE43-7100039A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5" name="Picture 15830">
          <a:extLst>
            <a:ext uri="{FF2B5EF4-FFF2-40B4-BE49-F238E27FC236}">
              <a16:creationId xmlns:a16="http://schemas.microsoft.com/office/drawing/2014/main" id="{09904795-3369-41D7-9B85-27345EB3D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6" name="Picture 15830">
          <a:extLst>
            <a:ext uri="{FF2B5EF4-FFF2-40B4-BE49-F238E27FC236}">
              <a16:creationId xmlns:a16="http://schemas.microsoft.com/office/drawing/2014/main" id="{62DE20F0-DD4B-4A42-B9E3-90446E912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7" name="Picture 2" descr="A TY PPHONG.PNG">
          <a:extLst>
            <a:ext uri="{FF2B5EF4-FFF2-40B4-BE49-F238E27FC236}">
              <a16:creationId xmlns:a16="http://schemas.microsoft.com/office/drawing/2014/main" id="{84C9E835-CF35-4D18-A258-A5195A41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8" name="Picture 15830">
          <a:extLst>
            <a:ext uri="{FF2B5EF4-FFF2-40B4-BE49-F238E27FC236}">
              <a16:creationId xmlns:a16="http://schemas.microsoft.com/office/drawing/2014/main" id="{A26CEFBC-6B81-4AD3-980F-DF6F96832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9" name="Picture 15830">
          <a:extLst>
            <a:ext uri="{FF2B5EF4-FFF2-40B4-BE49-F238E27FC236}">
              <a16:creationId xmlns:a16="http://schemas.microsoft.com/office/drawing/2014/main" id="{4885B8C0-710A-4859-AF59-B9FB6F9B1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0" name="Picture 2" descr="A TY PPHONG.PNG">
          <a:extLst>
            <a:ext uri="{FF2B5EF4-FFF2-40B4-BE49-F238E27FC236}">
              <a16:creationId xmlns:a16="http://schemas.microsoft.com/office/drawing/2014/main" id="{BA9DB6ED-7A8C-4E37-9053-376D8F0ED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1" name="Picture 15830">
          <a:extLst>
            <a:ext uri="{FF2B5EF4-FFF2-40B4-BE49-F238E27FC236}">
              <a16:creationId xmlns:a16="http://schemas.microsoft.com/office/drawing/2014/main" id="{3AD25466-7770-4C3B-AC59-AC944177F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2" name="Picture 2" descr="A TY PPHONG.PNG">
          <a:extLst>
            <a:ext uri="{FF2B5EF4-FFF2-40B4-BE49-F238E27FC236}">
              <a16:creationId xmlns:a16="http://schemas.microsoft.com/office/drawing/2014/main" id="{FFB6B774-03EE-4DFC-92DE-6BE6CA17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3" name="Picture 15830">
          <a:extLst>
            <a:ext uri="{FF2B5EF4-FFF2-40B4-BE49-F238E27FC236}">
              <a16:creationId xmlns:a16="http://schemas.microsoft.com/office/drawing/2014/main" id="{DCEA1D45-40B1-44AF-9259-86240B7CA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4" name="Picture 2" descr="A TY PPHONG.PNG">
          <a:extLst>
            <a:ext uri="{FF2B5EF4-FFF2-40B4-BE49-F238E27FC236}">
              <a16:creationId xmlns:a16="http://schemas.microsoft.com/office/drawing/2014/main" id="{7A1E5266-FF9B-4D61-8513-5FFD9F5AA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5" name="Picture 15830">
          <a:extLst>
            <a:ext uri="{FF2B5EF4-FFF2-40B4-BE49-F238E27FC236}">
              <a16:creationId xmlns:a16="http://schemas.microsoft.com/office/drawing/2014/main" id="{CC1A0B87-0959-4E29-9D78-F751608E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442830</xdr:colOff>
      <xdr:row>0</xdr:row>
      <xdr:rowOff>0</xdr:rowOff>
    </xdr:to>
    <xdr:pic>
      <xdr:nvPicPr>
        <xdr:cNvPr id="106" name="Picture 2" descr="A TY PPHONG.PNG">
          <a:extLst>
            <a:ext uri="{FF2B5EF4-FFF2-40B4-BE49-F238E27FC236}">
              <a16:creationId xmlns:a16="http://schemas.microsoft.com/office/drawing/2014/main" id="{298D5586-9818-4AB6-9ABA-FE4A1C4E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0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7" name="Picture 15830">
          <a:extLst>
            <a:ext uri="{FF2B5EF4-FFF2-40B4-BE49-F238E27FC236}">
              <a16:creationId xmlns:a16="http://schemas.microsoft.com/office/drawing/2014/main" id="{8B0331C0-A993-4EDB-AA30-215C222E1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8" name="Picture 15830">
          <a:extLst>
            <a:ext uri="{FF2B5EF4-FFF2-40B4-BE49-F238E27FC236}">
              <a16:creationId xmlns:a16="http://schemas.microsoft.com/office/drawing/2014/main" id="{B6576886-4247-4B21-A07D-086842385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442830</xdr:colOff>
      <xdr:row>0</xdr:row>
      <xdr:rowOff>0</xdr:rowOff>
    </xdr:to>
    <xdr:pic>
      <xdr:nvPicPr>
        <xdr:cNvPr id="109" name="Picture 2" descr="A TY PPHONG.PNG">
          <a:extLst>
            <a:ext uri="{FF2B5EF4-FFF2-40B4-BE49-F238E27FC236}">
              <a16:creationId xmlns:a16="http://schemas.microsoft.com/office/drawing/2014/main" id="{52498AA7-CB52-4C18-AFEE-49DCEFD92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0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0" name="Picture 15830">
          <a:extLst>
            <a:ext uri="{FF2B5EF4-FFF2-40B4-BE49-F238E27FC236}">
              <a16:creationId xmlns:a16="http://schemas.microsoft.com/office/drawing/2014/main" id="{D45BCC79-FEF0-4AE1-B12B-20CF42D8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1" name="Picture 15830">
          <a:extLst>
            <a:ext uri="{FF2B5EF4-FFF2-40B4-BE49-F238E27FC236}">
              <a16:creationId xmlns:a16="http://schemas.microsoft.com/office/drawing/2014/main" id="{C4DF29E6-DC96-452F-A42D-59BC99273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12" name="Picture 2" descr="A TY PPHONG.PNG">
          <a:extLst>
            <a:ext uri="{FF2B5EF4-FFF2-40B4-BE49-F238E27FC236}">
              <a16:creationId xmlns:a16="http://schemas.microsoft.com/office/drawing/2014/main" id="{EC5A8C5E-9F9F-4CEB-BA5A-FCEA3B90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3" name="Picture 15830">
          <a:extLst>
            <a:ext uri="{FF2B5EF4-FFF2-40B4-BE49-F238E27FC236}">
              <a16:creationId xmlns:a16="http://schemas.microsoft.com/office/drawing/2014/main" id="{57FB68DD-B150-4EC7-9578-55726D78C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4" name="Picture 15830">
          <a:extLst>
            <a:ext uri="{FF2B5EF4-FFF2-40B4-BE49-F238E27FC236}">
              <a16:creationId xmlns:a16="http://schemas.microsoft.com/office/drawing/2014/main" id="{99B39F1A-6846-4A5F-A6EE-6F040DA5F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15" name="Picture 2" descr="A TY PPHONG.PNG">
          <a:extLst>
            <a:ext uri="{FF2B5EF4-FFF2-40B4-BE49-F238E27FC236}">
              <a16:creationId xmlns:a16="http://schemas.microsoft.com/office/drawing/2014/main" id="{2030526C-8D4A-465E-8BDA-CF913553E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16" name="Picture 15830">
          <a:extLst>
            <a:ext uri="{FF2B5EF4-FFF2-40B4-BE49-F238E27FC236}">
              <a16:creationId xmlns:a16="http://schemas.microsoft.com/office/drawing/2014/main" id="{E347EA2E-2E13-4723-BE6A-41EE4482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17" name="Picture 15830">
          <a:extLst>
            <a:ext uri="{FF2B5EF4-FFF2-40B4-BE49-F238E27FC236}">
              <a16:creationId xmlns:a16="http://schemas.microsoft.com/office/drawing/2014/main" id="{1522B54F-4364-4506-934A-A67DBB15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18" name="Picture 2" descr="A TY PPHONG.PNG">
          <a:extLst>
            <a:ext uri="{FF2B5EF4-FFF2-40B4-BE49-F238E27FC236}">
              <a16:creationId xmlns:a16="http://schemas.microsoft.com/office/drawing/2014/main" id="{392C6B33-A47E-4AA3-805A-0B5B5497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19" name="Picture 15830">
          <a:extLst>
            <a:ext uri="{FF2B5EF4-FFF2-40B4-BE49-F238E27FC236}">
              <a16:creationId xmlns:a16="http://schemas.microsoft.com/office/drawing/2014/main" id="{315B9ED1-FFC8-4EC6-87E8-1C16581E7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0" name="Picture 15830">
          <a:extLst>
            <a:ext uri="{FF2B5EF4-FFF2-40B4-BE49-F238E27FC236}">
              <a16:creationId xmlns:a16="http://schemas.microsoft.com/office/drawing/2014/main" id="{4AF03BCE-53D1-4085-93DE-798C06F50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21" name="Picture 2" descr="A TY PPHONG.PNG">
          <a:extLst>
            <a:ext uri="{FF2B5EF4-FFF2-40B4-BE49-F238E27FC236}">
              <a16:creationId xmlns:a16="http://schemas.microsoft.com/office/drawing/2014/main" id="{78F1ECFF-D814-46A2-9577-C06922C6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2" name="Picture 15830">
          <a:extLst>
            <a:ext uri="{FF2B5EF4-FFF2-40B4-BE49-F238E27FC236}">
              <a16:creationId xmlns:a16="http://schemas.microsoft.com/office/drawing/2014/main" id="{40CC607B-DC70-4E83-BC3C-A713A310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3" name="Picture 15830">
          <a:extLst>
            <a:ext uri="{FF2B5EF4-FFF2-40B4-BE49-F238E27FC236}">
              <a16:creationId xmlns:a16="http://schemas.microsoft.com/office/drawing/2014/main" id="{0DCE62D9-8066-427B-91C8-B5755A6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24" name="Picture 2" descr="A TY PPHONG.PNG">
          <a:extLst>
            <a:ext uri="{FF2B5EF4-FFF2-40B4-BE49-F238E27FC236}">
              <a16:creationId xmlns:a16="http://schemas.microsoft.com/office/drawing/2014/main" id="{CC02BA4B-9239-4CDC-89A5-40341AAB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5" name="Picture 15830">
          <a:extLst>
            <a:ext uri="{FF2B5EF4-FFF2-40B4-BE49-F238E27FC236}">
              <a16:creationId xmlns:a16="http://schemas.microsoft.com/office/drawing/2014/main" id="{E60B94F2-C550-4B64-AA84-8A8AA0A8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6" name="Picture 15830">
          <a:extLst>
            <a:ext uri="{FF2B5EF4-FFF2-40B4-BE49-F238E27FC236}">
              <a16:creationId xmlns:a16="http://schemas.microsoft.com/office/drawing/2014/main" id="{D57C1357-23F5-4C71-8DA3-A3CA2A708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27" name="Picture 2" descr="A TY PPHONG.PNG">
          <a:extLst>
            <a:ext uri="{FF2B5EF4-FFF2-40B4-BE49-F238E27FC236}">
              <a16:creationId xmlns:a16="http://schemas.microsoft.com/office/drawing/2014/main" id="{6C8FC87C-17B2-4F75-92A5-0493A1B9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8" name="Picture 15830">
          <a:extLst>
            <a:ext uri="{FF2B5EF4-FFF2-40B4-BE49-F238E27FC236}">
              <a16:creationId xmlns:a16="http://schemas.microsoft.com/office/drawing/2014/main" id="{F2EB30ED-FB15-4D72-9BB3-D9FE082F2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29" name="Picture 15830">
          <a:extLst>
            <a:ext uri="{FF2B5EF4-FFF2-40B4-BE49-F238E27FC236}">
              <a16:creationId xmlns:a16="http://schemas.microsoft.com/office/drawing/2014/main" id="{867ADA43-B550-4CF2-8DE2-94E12A610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30" name="Picture 2" descr="A TY PPHONG.PNG">
          <a:extLst>
            <a:ext uri="{FF2B5EF4-FFF2-40B4-BE49-F238E27FC236}">
              <a16:creationId xmlns:a16="http://schemas.microsoft.com/office/drawing/2014/main" id="{33A244D4-53AE-48D0-8FD6-C27BC7E01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1" name="Picture 15830">
          <a:extLst>
            <a:ext uri="{FF2B5EF4-FFF2-40B4-BE49-F238E27FC236}">
              <a16:creationId xmlns:a16="http://schemas.microsoft.com/office/drawing/2014/main" id="{D22A5FFD-5735-4689-AD5A-E1D377FBF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2" name="Picture 15830">
          <a:extLst>
            <a:ext uri="{FF2B5EF4-FFF2-40B4-BE49-F238E27FC236}">
              <a16:creationId xmlns:a16="http://schemas.microsoft.com/office/drawing/2014/main" id="{E8E0BA52-0CCE-4A61-98B8-DF1042382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33" name="Picture 2" descr="A TY PPHONG.PNG">
          <a:extLst>
            <a:ext uri="{FF2B5EF4-FFF2-40B4-BE49-F238E27FC236}">
              <a16:creationId xmlns:a16="http://schemas.microsoft.com/office/drawing/2014/main" id="{4A803F34-472B-404C-AC2F-53BE6ADC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4" name="Picture 15830">
          <a:extLst>
            <a:ext uri="{FF2B5EF4-FFF2-40B4-BE49-F238E27FC236}">
              <a16:creationId xmlns:a16="http://schemas.microsoft.com/office/drawing/2014/main" id="{1A6E5504-0B7D-4BE8-BAA4-03EBB204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5" name="Picture 15830">
          <a:extLst>
            <a:ext uri="{FF2B5EF4-FFF2-40B4-BE49-F238E27FC236}">
              <a16:creationId xmlns:a16="http://schemas.microsoft.com/office/drawing/2014/main" id="{9C9A6EC8-618C-4DE1-ACAF-F9ACDF54D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36" name="Picture 2" descr="A TY PPHONG.PNG">
          <a:extLst>
            <a:ext uri="{FF2B5EF4-FFF2-40B4-BE49-F238E27FC236}">
              <a16:creationId xmlns:a16="http://schemas.microsoft.com/office/drawing/2014/main" id="{47EF3913-F6EF-492A-8B1C-8C2695E87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7" name="Picture 15830">
          <a:extLst>
            <a:ext uri="{FF2B5EF4-FFF2-40B4-BE49-F238E27FC236}">
              <a16:creationId xmlns:a16="http://schemas.microsoft.com/office/drawing/2014/main" id="{703D2BB6-819C-459D-A591-887C10AB5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38" name="Picture 15830">
          <a:extLst>
            <a:ext uri="{FF2B5EF4-FFF2-40B4-BE49-F238E27FC236}">
              <a16:creationId xmlns:a16="http://schemas.microsoft.com/office/drawing/2014/main" id="{70AC3088-8040-419F-85E6-AE6A1B66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39" name="Picture 2" descr="A TY PPHONG.PNG">
          <a:extLst>
            <a:ext uri="{FF2B5EF4-FFF2-40B4-BE49-F238E27FC236}">
              <a16:creationId xmlns:a16="http://schemas.microsoft.com/office/drawing/2014/main" id="{7D71D087-F130-4EC9-8DE6-70EBDDD8F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0" name="Picture 15830">
          <a:extLst>
            <a:ext uri="{FF2B5EF4-FFF2-40B4-BE49-F238E27FC236}">
              <a16:creationId xmlns:a16="http://schemas.microsoft.com/office/drawing/2014/main" id="{34187E5D-2ABE-4D9F-8C8A-D388CA6A7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1" name="Picture 15830">
          <a:extLst>
            <a:ext uri="{FF2B5EF4-FFF2-40B4-BE49-F238E27FC236}">
              <a16:creationId xmlns:a16="http://schemas.microsoft.com/office/drawing/2014/main" id="{038CFED0-8717-4C72-B13B-E85882D7D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42" name="Picture 2" descr="A TY PPHONG.PNG">
          <a:extLst>
            <a:ext uri="{FF2B5EF4-FFF2-40B4-BE49-F238E27FC236}">
              <a16:creationId xmlns:a16="http://schemas.microsoft.com/office/drawing/2014/main" id="{3040CDD4-5FCD-4A8E-9313-2862881D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3" name="Picture 15830">
          <a:extLst>
            <a:ext uri="{FF2B5EF4-FFF2-40B4-BE49-F238E27FC236}">
              <a16:creationId xmlns:a16="http://schemas.microsoft.com/office/drawing/2014/main" id="{C9AA7CEC-7B08-4B75-AA62-9F666AE5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4" name="Picture 15830">
          <a:extLst>
            <a:ext uri="{FF2B5EF4-FFF2-40B4-BE49-F238E27FC236}">
              <a16:creationId xmlns:a16="http://schemas.microsoft.com/office/drawing/2014/main" id="{BEFCBA2D-9430-44D7-9B2A-140C171BF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45" name="Picture 2" descr="A TY PPHONG.PNG">
          <a:extLst>
            <a:ext uri="{FF2B5EF4-FFF2-40B4-BE49-F238E27FC236}">
              <a16:creationId xmlns:a16="http://schemas.microsoft.com/office/drawing/2014/main" id="{DDD59055-A4D0-42E5-AC4A-500902640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6" name="Picture 15830">
          <a:extLst>
            <a:ext uri="{FF2B5EF4-FFF2-40B4-BE49-F238E27FC236}">
              <a16:creationId xmlns:a16="http://schemas.microsoft.com/office/drawing/2014/main" id="{61B9AA12-694C-4EFC-BADB-64DD6F212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22</xdr:col>
      <xdr:colOff>547607</xdr:colOff>
      <xdr:row>10</xdr:row>
      <xdr:rowOff>0</xdr:rowOff>
    </xdr:to>
    <xdr:pic>
      <xdr:nvPicPr>
        <xdr:cNvPr id="147" name="Picture 15830">
          <a:extLst>
            <a:ext uri="{FF2B5EF4-FFF2-40B4-BE49-F238E27FC236}">
              <a16:creationId xmlns:a16="http://schemas.microsoft.com/office/drawing/2014/main" id="{01066120-3C5C-4407-B1C2-1951D8D56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13</xdr:col>
      <xdr:colOff>452355</xdr:colOff>
      <xdr:row>10</xdr:row>
      <xdr:rowOff>0</xdr:rowOff>
    </xdr:to>
    <xdr:pic>
      <xdr:nvPicPr>
        <xdr:cNvPr id="148" name="Picture 2" descr="A TY PPHONG.PNG">
          <a:extLst>
            <a:ext uri="{FF2B5EF4-FFF2-40B4-BE49-F238E27FC236}">
              <a16:creationId xmlns:a16="http://schemas.microsoft.com/office/drawing/2014/main" id="{E4317BF9-B99B-468D-97D4-391F0AF9B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72649</xdr:colOff>
      <xdr:row>0</xdr:row>
      <xdr:rowOff>0</xdr:rowOff>
    </xdr:to>
    <xdr:pic>
      <xdr:nvPicPr>
        <xdr:cNvPr id="149" name="Picture 2" descr="A TY PPHONG.PNG">
          <a:extLst>
            <a:ext uri="{FF2B5EF4-FFF2-40B4-BE49-F238E27FC236}">
              <a16:creationId xmlns:a16="http://schemas.microsoft.com/office/drawing/2014/main" id="{877C0942-F86C-4BA3-9779-4C59B2993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0" name="Picture 2" descr="A TY PPHONG.PNG">
          <a:extLst>
            <a:ext uri="{FF2B5EF4-FFF2-40B4-BE49-F238E27FC236}">
              <a16:creationId xmlns:a16="http://schemas.microsoft.com/office/drawing/2014/main" id="{D0156B20-B4FD-4920-B2C1-019E139D4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1" name="Picture 2" descr="A TY PPHONG.PNG">
          <a:extLst>
            <a:ext uri="{FF2B5EF4-FFF2-40B4-BE49-F238E27FC236}">
              <a16:creationId xmlns:a16="http://schemas.microsoft.com/office/drawing/2014/main" id="{B6B46A1F-434A-4E69-8725-875807955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2" name="Picture 2" descr="A TY PPHONG.PNG">
          <a:extLst>
            <a:ext uri="{FF2B5EF4-FFF2-40B4-BE49-F238E27FC236}">
              <a16:creationId xmlns:a16="http://schemas.microsoft.com/office/drawing/2014/main" id="{92458164-C07B-46AC-BCFB-E7A8547DD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3" name="Picture 2" descr="A TY PPHONG.PNG">
          <a:extLst>
            <a:ext uri="{FF2B5EF4-FFF2-40B4-BE49-F238E27FC236}">
              <a16:creationId xmlns:a16="http://schemas.microsoft.com/office/drawing/2014/main" id="{EAECCA74-2B9A-4865-A577-5193DE2A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4" name="Picture 2" descr="A TY PPHONG.PNG">
          <a:extLst>
            <a:ext uri="{FF2B5EF4-FFF2-40B4-BE49-F238E27FC236}">
              <a16:creationId xmlns:a16="http://schemas.microsoft.com/office/drawing/2014/main" id="{BD371486-FF64-49DE-BF10-F4D23EB7D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5" name="Picture 2" descr="A TY PPHONG.PNG">
          <a:extLst>
            <a:ext uri="{FF2B5EF4-FFF2-40B4-BE49-F238E27FC236}">
              <a16:creationId xmlns:a16="http://schemas.microsoft.com/office/drawing/2014/main" id="{B6DE9AD3-023B-4E0A-9740-5B51E724B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6" name="Picture 2" descr="A TY PPHONG.PNG">
          <a:extLst>
            <a:ext uri="{FF2B5EF4-FFF2-40B4-BE49-F238E27FC236}">
              <a16:creationId xmlns:a16="http://schemas.microsoft.com/office/drawing/2014/main" id="{70A54F59-227C-4075-AFE3-A8BF4C7D8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72649</xdr:colOff>
      <xdr:row>10</xdr:row>
      <xdr:rowOff>0</xdr:rowOff>
    </xdr:to>
    <xdr:pic>
      <xdr:nvPicPr>
        <xdr:cNvPr id="157" name="Picture 2" descr="A TY PPHONG.PNG">
          <a:extLst>
            <a:ext uri="{FF2B5EF4-FFF2-40B4-BE49-F238E27FC236}">
              <a16:creationId xmlns:a16="http://schemas.microsoft.com/office/drawing/2014/main" id="{D4D59A8E-2A0C-4B37-A2BA-94B906AA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15</xdr:col>
      <xdr:colOff>171450</xdr:colOff>
      <xdr:row>4</xdr:row>
      <xdr:rowOff>0</xdr:rowOff>
    </xdr:to>
    <xdr:pic>
      <xdr:nvPicPr>
        <xdr:cNvPr id="2" name="Picture 15830">
          <a:extLst>
            <a:ext uri="{FF2B5EF4-FFF2-40B4-BE49-F238E27FC236}">
              <a16:creationId xmlns:a16="http://schemas.microsoft.com/office/drawing/2014/main" id="{FD85348C-0865-4E5C-A8DF-829C47427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766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15</xdr:col>
      <xdr:colOff>133350</xdr:colOff>
      <xdr:row>4</xdr:row>
      <xdr:rowOff>0</xdr:rowOff>
    </xdr:to>
    <xdr:pic>
      <xdr:nvPicPr>
        <xdr:cNvPr id="3" name="Picture 15830">
          <a:extLst>
            <a:ext uri="{FF2B5EF4-FFF2-40B4-BE49-F238E27FC236}">
              <a16:creationId xmlns:a16="http://schemas.microsoft.com/office/drawing/2014/main" id="{CDE70BFC-CE95-4488-ACE4-4F86F3CD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385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15</xdr:col>
      <xdr:colOff>133350</xdr:colOff>
      <xdr:row>4</xdr:row>
      <xdr:rowOff>0</xdr:rowOff>
    </xdr:to>
    <xdr:pic>
      <xdr:nvPicPr>
        <xdr:cNvPr id="4" name="Picture 15830">
          <a:extLst>
            <a:ext uri="{FF2B5EF4-FFF2-40B4-BE49-F238E27FC236}">
              <a16:creationId xmlns:a16="http://schemas.microsoft.com/office/drawing/2014/main" id="{07AB0B0B-6CFA-4920-B36E-6290C691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152525"/>
          <a:ext cx="38385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17</xdr:col>
      <xdr:colOff>193675</xdr:colOff>
      <xdr:row>5</xdr:row>
      <xdr:rowOff>0</xdr:rowOff>
    </xdr:to>
    <xdr:pic>
      <xdr:nvPicPr>
        <xdr:cNvPr id="5" name="Picture 15830">
          <a:extLst>
            <a:ext uri="{FF2B5EF4-FFF2-40B4-BE49-F238E27FC236}">
              <a16:creationId xmlns:a16="http://schemas.microsoft.com/office/drawing/2014/main" id="{7857ED69-7C38-4A8B-98D1-768F69E87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52705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16</xdr:col>
      <xdr:colOff>165100</xdr:colOff>
      <xdr:row>5</xdr:row>
      <xdr:rowOff>0</xdr:rowOff>
    </xdr:to>
    <xdr:pic>
      <xdr:nvPicPr>
        <xdr:cNvPr id="6" name="Picture 15830">
          <a:extLst>
            <a:ext uri="{FF2B5EF4-FFF2-40B4-BE49-F238E27FC236}">
              <a16:creationId xmlns:a16="http://schemas.microsoft.com/office/drawing/2014/main" id="{54085706-AA35-466F-BDD2-75F4FD2B9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45561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7" name="Picture 15830">
          <a:extLst>
            <a:ext uri="{FF2B5EF4-FFF2-40B4-BE49-F238E27FC236}">
              <a16:creationId xmlns:a16="http://schemas.microsoft.com/office/drawing/2014/main" id="{80FEDC96-D153-49DF-8B16-F86A2747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8" name="Picture 15830">
          <a:extLst>
            <a:ext uri="{FF2B5EF4-FFF2-40B4-BE49-F238E27FC236}">
              <a16:creationId xmlns:a16="http://schemas.microsoft.com/office/drawing/2014/main" id="{DE190DA8-9531-44A0-89C3-8D4432238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17</xdr:col>
      <xdr:colOff>193675</xdr:colOff>
      <xdr:row>5</xdr:row>
      <xdr:rowOff>0</xdr:rowOff>
    </xdr:to>
    <xdr:pic>
      <xdr:nvPicPr>
        <xdr:cNvPr id="9" name="Picture 15830">
          <a:extLst>
            <a:ext uri="{FF2B5EF4-FFF2-40B4-BE49-F238E27FC236}">
              <a16:creationId xmlns:a16="http://schemas.microsoft.com/office/drawing/2014/main" id="{7A3CA800-ACCC-4548-962A-D4F04D1A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52705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16</xdr:col>
      <xdr:colOff>165100</xdr:colOff>
      <xdr:row>5</xdr:row>
      <xdr:rowOff>0</xdr:rowOff>
    </xdr:to>
    <xdr:pic>
      <xdr:nvPicPr>
        <xdr:cNvPr id="10" name="Picture 15830">
          <a:extLst>
            <a:ext uri="{FF2B5EF4-FFF2-40B4-BE49-F238E27FC236}">
              <a16:creationId xmlns:a16="http://schemas.microsoft.com/office/drawing/2014/main" id="{4FA29565-8C52-4038-8F4C-DD6C998A3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45561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1" name="Picture 15830">
          <a:extLst>
            <a:ext uri="{FF2B5EF4-FFF2-40B4-BE49-F238E27FC236}">
              <a16:creationId xmlns:a16="http://schemas.microsoft.com/office/drawing/2014/main" id="{54A6C3CD-39CB-4694-9047-87E683AB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2" name="Picture 15830">
          <a:extLst>
            <a:ext uri="{FF2B5EF4-FFF2-40B4-BE49-F238E27FC236}">
              <a16:creationId xmlns:a16="http://schemas.microsoft.com/office/drawing/2014/main" id="{2E773DA6-229C-413E-A84A-D4AA2A80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13" name="Picture 15830">
          <a:extLst>
            <a:ext uri="{FF2B5EF4-FFF2-40B4-BE49-F238E27FC236}">
              <a16:creationId xmlns:a16="http://schemas.microsoft.com/office/drawing/2014/main" id="{522CCA94-3FF8-4E05-9ED9-9521B17A0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4" name="Picture 15830">
          <a:extLst>
            <a:ext uri="{FF2B5EF4-FFF2-40B4-BE49-F238E27FC236}">
              <a16:creationId xmlns:a16="http://schemas.microsoft.com/office/drawing/2014/main" id="{ECAFD6CD-1AF6-4F11-8918-15F4CE738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5" name="Picture 15830">
          <a:extLst>
            <a:ext uri="{FF2B5EF4-FFF2-40B4-BE49-F238E27FC236}">
              <a16:creationId xmlns:a16="http://schemas.microsoft.com/office/drawing/2014/main" id="{BA1DB161-7A77-4817-936B-1D08BBB7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16" name="Picture 15830">
          <a:extLst>
            <a:ext uri="{FF2B5EF4-FFF2-40B4-BE49-F238E27FC236}">
              <a16:creationId xmlns:a16="http://schemas.microsoft.com/office/drawing/2014/main" id="{F58CCB16-7C67-43E8-98E1-656D2C91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460375</xdr:colOff>
      <xdr:row>5</xdr:row>
      <xdr:rowOff>0</xdr:rowOff>
    </xdr:to>
    <xdr:pic>
      <xdr:nvPicPr>
        <xdr:cNvPr id="17" name="Picture 15830">
          <a:extLst>
            <a:ext uri="{FF2B5EF4-FFF2-40B4-BE49-F238E27FC236}">
              <a16:creationId xmlns:a16="http://schemas.microsoft.com/office/drawing/2014/main" id="{1A20D585-6D4D-4423-AA7F-4C334055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8613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18" name="Picture 15830">
          <a:extLst>
            <a:ext uri="{FF2B5EF4-FFF2-40B4-BE49-F238E27FC236}">
              <a16:creationId xmlns:a16="http://schemas.microsoft.com/office/drawing/2014/main" id="{31C8F739-88D5-4056-BE31-49A256BCA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19" name="Picture 15830">
          <a:extLst>
            <a:ext uri="{FF2B5EF4-FFF2-40B4-BE49-F238E27FC236}">
              <a16:creationId xmlns:a16="http://schemas.microsoft.com/office/drawing/2014/main" id="{BF409EB0-670C-4003-8876-CA9CB38C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20" name="Picture 15830">
          <a:extLst>
            <a:ext uri="{FF2B5EF4-FFF2-40B4-BE49-F238E27FC236}">
              <a16:creationId xmlns:a16="http://schemas.microsoft.com/office/drawing/2014/main" id="{4803B4CC-BD29-4FC8-B6D4-2DCD581F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19</xdr:col>
      <xdr:colOff>384175</xdr:colOff>
      <xdr:row>5</xdr:row>
      <xdr:rowOff>0</xdr:rowOff>
    </xdr:to>
    <xdr:pic>
      <xdr:nvPicPr>
        <xdr:cNvPr id="21" name="Picture 15830">
          <a:extLst>
            <a:ext uri="{FF2B5EF4-FFF2-40B4-BE49-F238E27FC236}">
              <a16:creationId xmlns:a16="http://schemas.microsoft.com/office/drawing/2014/main" id="{9AD5D9A0-8BF3-49A3-B8D2-18186D740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7851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22" name="Picture 15830">
          <a:extLst>
            <a:ext uri="{FF2B5EF4-FFF2-40B4-BE49-F238E27FC236}">
              <a16:creationId xmlns:a16="http://schemas.microsoft.com/office/drawing/2014/main" id="{FA7885FC-C4C9-4E4F-9F66-7D039B8B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23" name="Picture 15830">
          <a:extLst>
            <a:ext uri="{FF2B5EF4-FFF2-40B4-BE49-F238E27FC236}">
              <a16:creationId xmlns:a16="http://schemas.microsoft.com/office/drawing/2014/main" id="{D7274F06-AE08-430B-993C-D992AA4CB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374650</xdr:colOff>
      <xdr:row>5</xdr:row>
      <xdr:rowOff>0</xdr:rowOff>
    </xdr:to>
    <xdr:pic>
      <xdr:nvPicPr>
        <xdr:cNvPr id="24" name="Picture 15830">
          <a:extLst>
            <a:ext uri="{FF2B5EF4-FFF2-40B4-BE49-F238E27FC236}">
              <a16:creationId xmlns:a16="http://schemas.microsoft.com/office/drawing/2014/main" id="{F2E67D52-B49F-4201-BB85-D3F06C5B2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137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19</xdr:col>
      <xdr:colOff>384175</xdr:colOff>
      <xdr:row>5</xdr:row>
      <xdr:rowOff>0</xdr:rowOff>
    </xdr:to>
    <xdr:pic>
      <xdr:nvPicPr>
        <xdr:cNvPr id="25" name="Picture 15830">
          <a:extLst>
            <a:ext uri="{FF2B5EF4-FFF2-40B4-BE49-F238E27FC236}">
              <a16:creationId xmlns:a16="http://schemas.microsoft.com/office/drawing/2014/main" id="{2458AEF0-CA74-4CE4-9C85-F3BBCE67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447800"/>
          <a:ext cx="78517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136525</xdr:colOff>
      <xdr:row>5</xdr:row>
      <xdr:rowOff>0</xdr:rowOff>
    </xdr:to>
    <xdr:pic>
      <xdr:nvPicPr>
        <xdr:cNvPr id="26" name="Picture 15830">
          <a:extLst>
            <a:ext uri="{FF2B5EF4-FFF2-40B4-BE49-F238E27FC236}">
              <a16:creationId xmlns:a16="http://schemas.microsoft.com/office/drawing/2014/main" id="{687A669E-738E-4AB1-AC74-CD9BBFBE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93281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641350</xdr:colOff>
      <xdr:row>5</xdr:row>
      <xdr:rowOff>0</xdr:rowOff>
    </xdr:to>
    <xdr:pic>
      <xdr:nvPicPr>
        <xdr:cNvPr id="27" name="Picture 15830">
          <a:extLst>
            <a:ext uri="{FF2B5EF4-FFF2-40B4-BE49-F238E27FC236}">
              <a16:creationId xmlns:a16="http://schemas.microsoft.com/office/drawing/2014/main" id="{2D0BDB33-4E34-4BE0-97DC-840CCCB84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447800"/>
          <a:ext cx="64039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19</xdr:col>
      <xdr:colOff>128508</xdr:colOff>
      <xdr:row>0</xdr:row>
      <xdr:rowOff>0</xdr:rowOff>
    </xdr:to>
    <xdr:pic>
      <xdr:nvPicPr>
        <xdr:cNvPr id="2" name="Picture 15830">
          <a:extLst>
            <a:ext uri="{FF2B5EF4-FFF2-40B4-BE49-F238E27FC236}">
              <a16:creationId xmlns:a16="http://schemas.microsoft.com/office/drawing/2014/main" id="{957905DB-DBE8-4D0C-860A-D9F82895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6300708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442831</xdr:colOff>
      <xdr:row>0</xdr:row>
      <xdr:rowOff>0</xdr:rowOff>
    </xdr:to>
    <xdr:pic>
      <xdr:nvPicPr>
        <xdr:cNvPr id="3" name="Picture 15830">
          <a:extLst>
            <a:ext uri="{FF2B5EF4-FFF2-40B4-BE49-F238E27FC236}">
              <a16:creationId xmlns:a16="http://schemas.microsoft.com/office/drawing/2014/main" id="{55ABB1A2-66FC-431E-B782-7BF419FF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5929231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328531</xdr:colOff>
      <xdr:row>0</xdr:row>
      <xdr:rowOff>0</xdr:rowOff>
    </xdr:to>
    <xdr:pic>
      <xdr:nvPicPr>
        <xdr:cNvPr id="4" name="Picture 15830">
          <a:extLst>
            <a:ext uri="{FF2B5EF4-FFF2-40B4-BE49-F238E27FC236}">
              <a16:creationId xmlns:a16="http://schemas.microsoft.com/office/drawing/2014/main" id="{D6A8A043-9D7D-42D1-A9E3-FB497E940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5814931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29</xdr:col>
      <xdr:colOff>471406</xdr:colOff>
      <xdr:row>0</xdr:row>
      <xdr:rowOff>0</xdr:rowOff>
    </xdr:to>
    <xdr:pic>
      <xdr:nvPicPr>
        <xdr:cNvPr id="5" name="Picture 15830">
          <a:extLst>
            <a:ext uri="{FF2B5EF4-FFF2-40B4-BE49-F238E27FC236}">
              <a16:creationId xmlns:a16="http://schemas.microsoft.com/office/drawing/2014/main" id="{34F0D245-F052-49C4-B6B1-51D19C24A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3501606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24</xdr:col>
      <xdr:colOff>176132</xdr:colOff>
      <xdr:row>0</xdr:row>
      <xdr:rowOff>0</xdr:rowOff>
    </xdr:to>
    <xdr:pic>
      <xdr:nvPicPr>
        <xdr:cNvPr id="6" name="Picture 15830">
          <a:extLst>
            <a:ext uri="{FF2B5EF4-FFF2-40B4-BE49-F238E27FC236}">
              <a16:creationId xmlns:a16="http://schemas.microsoft.com/office/drawing/2014/main" id="{BA18D137-F275-4F23-B2DC-59F2393F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977733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21</xdr:col>
      <xdr:colOff>147556</xdr:colOff>
      <xdr:row>0</xdr:row>
      <xdr:rowOff>0</xdr:rowOff>
    </xdr:to>
    <xdr:pic>
      <xdr:nvPicPr>
        <xdr:cNvPr id="7" name="Picture 15830">
          <a:extLst>
            <a:ext uri="{FF2B5EF4-FFF2-40B4-BE49-F238E27FC236}">
              <a16:creationId xmlns:a16="http://schemas.microsoft.com/office/drawing/2014/main" id="{5FBF3BF3-160F-42EE-8BBB-90D252D4A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7691356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38</xdr:col>
      <xdr:colOff>452357</xdr:colOff>
      <xdr:row>0</xdr:row>
      <xdr:rowOff>0</xdr:rowOff>
    </xdr:to>
    <xdr:pic>
      <xdr:nvPicPr>
        <xdr:cNvPr id="8" name="Picture 15830">
          <a:extLst>
            <a:ext uri="{FF2B5EF4-FFF2-40B4-BE49-F238E27FC236}">
              <a16:creationId xmlns:a16="http://schemas.microsoft.com/office/drawing/2014/main" id="{E8B52EAC-261B-4F4B-A916-40CB9A48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965475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27</xdr:col>
      <xdr:colOff>547608</xdr:colOff>
      <xdr:row>0</xdr:row>
      <xdr:rowOff>0</xdr:rowOff>
    </xdr:to>
    <xdr:pic>
      <xdr:nvPicPr>
        <xdr:cNvPr id="9" name="Picture 15830">
          <a:extLst>
            <a:ext uri="{FF2B5EF4-FFF2-40B4-BE49-F238E27FC236}">
              <a16:creationId xmlns:a16="http://schemas.microsoft.com/office/drawing/2014/main" id="{2BA2CCC8-3932-4DBF-BB30-8AE32D4C0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12206208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" name="Picture 15830">
          <a:extLst>
            <a:ext uri="{FF2B5EF4-FFF2-40B4-BE49-F238E27FC236}">
              <a16:creationId xmlns:a16="http://schemas.microsoft.com/office/drawing/2014/main" id="{849F03C6-03A6-44FF-85F6-8BF11AD83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" name="Picture 15830">
          <a:extLst>
            <a:ext uri="{FF2B5EF4-FFF2-40B4-BE49-F238E27FC236}">
              <a16:creationId xmlns:a16="http://schemas.microsoft.com/office/drawing/2014/main" id="{CBB8D26A-9CC9-4097-B07F-2581D040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2" name="Picture 2" descr="A TY PPHONG.PNG">
          <a:extLst>
            <a:ext uri="{FF2B5EF4-FFF2-40B4-BE49-F238E27FC236}">
              <a16:creationId xmlns:a16="http://schemas.microsoft.com/office/drawing/2014/main" id="{EFE79BD1-8505-4BC4-9336-75919B3EC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3" name="Picture 2" descr="A TY PPHONG.PNG">
          <a:extLst>
            <a:ext uri="{FF2B5EF4-FFF2-40B4-BE49-F238E27FC236}">
              <a16:creationId xmlns:a16="http://schemas.microsoft.com/office/drawing/2014/main" id="{7EEEDCC4-0396-4814-A0A8-F44D34626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4" name="Picture 15830">
          <a:extLst>
            <a:ext uri="{FF2B5EF4-FFF2-40B4-BE49-F238E27FC236}">
              <a16:creationId xmlns:a16="http://schemas.microsoft.com/office/drawing/2014/main" id="{4E023DFC-BF49-42D0-A35E-2A558D88F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5" name="Picture 15830">
          <a:extLst>
            <a:ext uri="{FF2B5EF4-FFF2-40B4-BE49-F238E27FC236}">
              <a16:creationId xmlns:a16="http://schemas.microsoft.com/office/drawing/2014/main" id="{22883CB3-1015-4A6A-AD6D-04E6C1402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6" name="Picture 2" descr="A TY PPHONG.PNG">
          <a:extLst>
            <a:ext uri="{FF2B5EF4-FFF2-40B4-BE49-F238E27FC236}">
              <a16:creationId xmlns:a16="http://schemas.microsoft.com/office/drawing/2014/main" id="{C8C9EC6D-48B4-439A-BEF1-AE902C9D4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7" name="Picture 2" descr="A TY PPHONG.PNG">
          <a:extLst>
            <a:ext uri="{FF2B5EF4-FFF2-40B4-BE49-F238E27FC236}">
              <a16:creationId xmlns:a16="http://schemas.microsoft.com/office/drawing/2014/main" id="{3621FD59-5770-4CB2-911A-AC50920E0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8" name="Picture 2" descr="A TY PPHONG.PNG">
          <a:extLst>
            <a:ext uri="{FF2B5EF4-FFF2-40B4-BE49-F238E27FC236}">
              <a16:creationId xmlns:a16="http://schemas.microsoft.com/office/drawing/2014/main" id="{F7B8D7E3-2015-4388-B33A-EF75404A8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9" name="Picture 2" descr="A TY PPHONG.PNG">
          <a:extLst>
            <a:ext uri="{FF2B5EF4-FFF2-40B4-BE49-F238E27FC236}">
              <a16:creationId xmlns:a16="http://schemas.microsoft.com/office/drawing/2014/main" id="{944BD590-AC4F-4FAA-AAFC-BF2EDDF8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0" name="Picture 2" descr="A TY PPHONG.PNG">
          <a:extLst>
            <a:ext uri="{FF2B5EF4-FFF2-40B4-BE49-F238E27FC236}">
              <a16:creationId xmlns:a16="http://schemas.microsoft.com/office/drawing/2014/main" id="{1E7DE8FE-2C06-4FF8-BA39-59EC09913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1" name="Picture 2" descr="A TY PPHONG.PNG">
          <a:extLst>
            <a:ext uri="{FF2B5EF4-FFF2-40B4-BE49-F238E27FC236}">
              <a16:creationId xmlns:a16="http://schemas.microsoft.com/office/drawing/2014/main" id="{63C7C46E-74B2-478A-A25B-9DC10F818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2" name="Picture 2" descr="A TY PPHONG.PNG">
          <a:extLst>
            <a:ext uri="{FF2B5EF4-FFF2-40B4-BE49-F238E27FC236}">
              <a16:creationId xmlns:a16="http://schemas.microsoft.com/office/drawing/2014/main" id="{59222D2E-2649-4BFE-95FB-ED80D07D3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3" name="Picture 2" descr="A TY PPHONG.PNG">
          <a:extLst>
            <a:ext uri="{FF2B5EF4-FFF2-40B4-BE49-F238E27FC236}">
              <a16:creationId xmlns:a16="http://schemas.microsoft.com/office/drawing/2014/main" id="{FC5CE618-D108-4A6A-8584-D25DE170C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4" name="Picture 2" descr="A TY PPHONG.PNG">
          <a:extLst>
            <a:ext uri="{FF2B5EF4-FFF2-40B4-BE49-F238E27FC236}">
              <a16:creationId xmlns:a16="http://schemas.microsoft.com/office/drawing/2014/main" id="{C5FB6902-34A6-4D55-8E8D-A2AE49F3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5" name="Picture 2" descr="A TY PPHONG.PNG">
          <a:extLst>
            <a:ext uri="{FF2B5EF4-FFF2-40B4-BE49-F238E27FC236}">
              <a16:creationId xmlns:a16="http://schemas.microsoft.com/office/drawing/2014/main" id="{D68E6120-448A-4DE4-BE3A-CAD5262B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6" name="Picture 15830">
          <a:extLst>
            <a:ext uri="{FF2B5EF4-FFF2-40B4-BE49-F238E27FC236}">
              <a16:creationId xmlns:a16="http://schemas.microsoft.com/office/drawing/2014/main" id="{E027E1A7-E9E5-46D3-9629-FCA90B87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27" name="Picture 2" descr="A TY PPHONG.PNG">
          <a:extLst>
            <a:ext uri="{FF2B5EF4-FFF2-40B4-BE49-F238E27FC236}">
              <a16:creationId xmlns:a16="http://schemas.microsoft.com/office/drawing/2014/main" id="{1E0DAB69-D06C-4EB5-8E2F-33240F8F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8" name="Picture 15830">
          <a:extLst>
            <a:ext uri="{FF2B5EF4-FFF2-40B4-BE49-F238E27FC236}">
              <a16:creationId xmlns:a16="http://schemas.microsoft.com/office/drawing/2014/main" id="{2C32935F-1F2F-414B-B8AF-5C42FD08B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29" name="Picture 15830">
          <a:extLst>
            <a:ext uri="{FF2B5EF4-FFF2-40B4-BE49-F238E27FC236}">
              <a16:creationId xmlns:a16="http://schemas.microsoft.com/office/drawing/2014/main" id="{F99E78ED-D10D-47DE-A89C-814E51873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0" name="Picture 2" descr="A TY PPHONG.PNG">
          <a:extLst>
            <a:ext uri="{FF2B5EF4-FFF2-40B4-BE49-F238E27FC236}">
              <a16:creationId xmlns:a16="http://schemas.microsoft.com/office/drawing/2014/main" id="{D61BB33B-43FC-4B7F-8DCD-127331FB6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1" name="Picture 15830">
          <a:extLst>
            <a:ext uri="{FF2B5EF4-FFF2-40B4-BE49-F238E27FC236}">
              <a16:creationId xmlns:a16="http://schemas.microsoft.com/office/drawing/2014/main" id="{3F75AA55-F079-4637-885E-B1E2D4CBD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2" name="Picture 15830">
          <a:extLst>
            <a:ext uri="{FF2B5EF4-FFF2-40B4-BE49-F238E27FC236}">
              <a16:creationId xmlns:a16="http://schemas.microsoft.com/office/drawing/2014/main" id="{562E7335-61A5-45AC-9D98-8105E954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3" name="Picture 2" descr="A TY PPHONG.PNG">
          <a:extLst>
            <a:ext uri="{FF2B5EF4-FFF2-40B4-BE49-F238E27FC236}">
              <a16:creationId xmlns:a16="http://schemas.microsoft.com/office/drawing/2014/main" id="{D3965A69-6B93-4254-96B2-9E1F6EE4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4" name="Picture 15830">
          <a:extLst>
            <a:ext uri="{FF2B5EF4-FFF2-40B4-BE49-F238E27FC236}">
              <a16:creationId xmlns:a16="http://schemas.microsoft.com/office/drawing/2014/main" id="{32EF093F-E074-4924-8B21-B2923B9D2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35" name="Picture 15830">
          <a:extLst>
            <a:ext uri="{FF2B5EF4-FFF2-40B4-BE49-F238E27FC236}">
              <a16:creationId xmlns:a16="http://schemas.microsoft.com/office/drawing/2014/main" id="{F68DDD0B-212A-4A36-BCC3-B24542F57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36" name="Picture 2" descr="A TY PPHONG.PNG">
          <a:extLst>
            <a:ext uri="{FF2B5EF4-FFF2-40B4-BE49-F238E27FC236}">
              <a16:creationId xmlns:a16="http://schemas.microsoft.com/office/drawing/2014/main" id="{106D7D63-D1A9-49B5-862A-C06C330A9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7" name="Picture 15830">
          <a:extLst>
            <a:ext uri="{FF2B5EF4-FFF2-40B4-BE49-F238E27FC236}">
              <a16:creationId xmlns:a16="http://schemas.microsoft.com/office/drawing/2014/main" id="{582318AC-42F7-49DD-9A98-977AB86E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8" name="Picture 15830">
          <a:extLst>
            <a:ext uri="{FF2B5EF4-FFF2-40B4-BE49-F238E27FC236}">
              <a16:creationId xmlns:a16="http://schemas.microsoft.com/office/drawing/2014/main" id="{CED7B1B6-76FA-40B3-8934-49C8F8FB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423782</xdr:colOff>
      <xdr:row>0</xdr:row>
      <xdr:rowOff>0</xdr:rowOff>
    </xdr:to>
    <xdr:pic>
      <xdr:nvPicPr>
        <xdr:cNvPr id="39" name="Picture 15830">
          <a:extLst>
            <a:ext uri="{FF2B5EF4-FFF2-40B4-BE49-F238E27FC236}">
              <a16:creationId xmlns:a16="http://schemas.microsoft.com/office/drawing/2014/main" id="{B86B5F85-425F-4D51-9454-72C686B19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653382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72649</xdr:colOff>
      <xdr:row>0</xdr:row>
      <xdr:rowOff>0</xdr:rowOff>
    </xdr:to>
    <xdr:pic>
      <xdr:nvPicPr>
        <xdr:cNvPr id="40" name="Picture 2" descr="A TY PPHONG.PNG">
          <a:extLst>
            <a:ext uri="{FF2B5EF4-FFF2-40B4-BE49-F238E27FC236}">
              <a16:creationId xmlns:a16="http://schemas.microsoft.com/office/drawing/2014/main" id="{DD09327C-21F1-4873-A86D-846A0B07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1" name="Picture 15830">
          <a:extLst>
            <a:ext uri="{FF2B5EF4-FFF2-40B4-BE49-F238E27FC236}">
              <a16:creationId xmlns:a16="http://schemas.microsoft.com/office/drawing/2014/main" id="{905F48B8-92C3-4662-BEBE-A6BED7B4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2" name="Picture 15830">
          <a:extLst>
            <a:ext uri="{FF2B5EF4-FFF2-40B4-BE49-F238E27FC236}">
              <a16:creationId xmlns:a16="http://schemas.microsoft.com/office/drawing/2014/main" id="{E0AF5090-935D-47D8-AD2C-9F48A784C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3" name="Picture 2" descr="A TY PPHONG.PNG">
          <a:extLst>
            <a:ext uri="{FF2B5EF4-FFF2-40B4-BE49-F238E27FC236}">
              <a16:creationId xmlns:a16="http://schemas.microsoft.com/office/drawing/2014/main" id="{66C6A4E9-148F-40EF-B9EB-BE7A1464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4" name="Picture 15830">
          <a:extLst>
            <a:ext uri="{FF2B5EF4-FFF2-40B4-BE49-F238E27FC236}">
              <a16:creationId xmlns:a16="http://schemas.microsoft.com/office/drawing/2014/main" id="{D8AACDE1-FA82-45B9-975A-1CF9ED8B3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5" name="Picture 15830">
          <a:extLst>
            <a:ext uri="{FF2B5EF4-FFF2-40B4-BE49-F238E27FC236}">
              <a16:creationId xmlns:a16="http://schemas.microsoft.com/office/drawing/2014/main" id="{251FAFAE-064F-4E3D-9C71-6EE84FA8B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6" name="Picture 2" descr="A TY PPHONG.PNG">
          <a:extLst>
            <a:ext uri="{FF2B5EF4-FFF2-40B4-BE49-F238E27FC236}">
              <a16:creationId xmlns:a16="http://schemas.microsoft.com/office/drawing/2014/main" id="{8FAFDEFC-B247-458D-9FC9-8759535BF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7" name="Picture 15830">
          <a:extLst>
            <a:ext uri="{FF2B5EF4-FFF2-40B4-BE49-F238E27FC236}">
              <a16:creationId xmlns:a16="http://schemas.microsoft.com/office/drawing/2014/main" id="{326FE114-510E-44C2-B24F-6CE283F8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48" name="Picture 15830">
          <a:extLst>
            <a:ext uri="{FF2B5EF4-FFF2-40B4-BE49-F238E27FC236}">
              <a16:creationId xmlns:a16="http://schemas.microsoft.com/office/drawing/2014/main" id="{0578022A-9FA1-4D7E-B178-50E4405F2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49" name="Picture 2" descr="A TY PPHONG.PNG">
          <a:extLst>
            <a:ext uri="{FF2B5EF4-FFF2-40B4-BE49-F238E27FC236}">
              <a16:creationId xmlns:a16="http://schemas.microsoft.com/office/drawing/2014/main" id="{7958197F-E39A-4907-BC11-94969E017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0" name="Picture 15830">
          <a:extLst>
            <a:ext uri="{FF2B5EF4-FFF2-40B4-BE49-F238E27FC236}">
              <a16:creationId xmlns:a16="http://schemas.microsoft.com/office/drawing/2014/main" id="{FC7953A9-604C-4A0B-9ED6-27C42357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1" name="Picture 15830">
          <a:extLst>
            <a:ext uri="{FF2B5EF4-FFF2-40B4-BE49-F238E27FC236}">
              <a16:creationId xmlns:a16="http://schemas.microsoft.com/office/drawing/2014/main" id="{6C0681C8-842A-442E-9736-747FB1D00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2" name="Picture 2" descr="A TY PPHONG.PNG">
          <a:extLst>
            <a:ext uri="{FF2B5EF4-FFF2-40B4-BE49-F238E27FC236}">
              <a16:creationId xmlns:a16="http://schemas.microsoft.com/office/drawing/2014/main" id="{A8D0DEF0-17C8-4D6D-95B8-120219C65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3" name="Picture 15830">
          <a:extLst>
            <a:ext uri="{FF2B5EF4-FFF2-40B4-BE49-F238E27FC236}">
              <a16:creationId xmlns:a16="http://schemas.microsoft.com/office/drawing/2014/main" id="{998B1CE4-E580-4606-A334-D909B5B89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4" name="Picture 15830">
          <a:extLst>
            <a:ext uri="{FF2B5EF4-FFF2-40B4-BE49-F238E27FC236}">
              <a16:creationId xmlns:a16="http://schemas.microsoft.com/office/drawing/2014/main" id="{04DB7C2D-A26E-41A6-B03C-1575257A7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5" name="Picture 2" descr="A TY PPHONG.PNG">
          <a:extLst>
            <a:ext uri="{FF2B5EF4-FFF2-40B4-BE49-F238E27FC236}">
              <a16:creationId xmlns:a16="http://schemas.microsoft.com/office/drawing/2014/main" id="{CC5CC860-CE41-4C6F-B0FA-373B7EACF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6" name="Picture 15830">
          <a:extLst>
            <a:ext uri="{FF2B5EF4-FFF2-40B4-BE49-F238E27FC236}">
              <a16:creationId xmlns:a16="http://schemas.microsoft.com/office/drawing/2014/main" id="{19B0B843-F597-41DA-99FC-F6E7C555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7" name="Picture 15830">
          <a:extLst>
            <a:ext uri="{FF2B5EF4-FFF2-40B4-BE49-F238E27FC236}">
              <a16:creationId xmlns:a16="http://schemas.microsoft.com/office/drawing/2014/main" id="{8FA6C2A5-2365-4491-AA82-BBBDA5FB9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58" name="Picture 2" descr="A TY PPHONG.PNG">
          <a:extLst>
            <a:ext uri="{FF2B5EF4-FFF2-40B4-BE49-F238E27FC236}">
              <a16:creationId xmlns:a16="http://schemas.microsoft.com/office/drawing/2014/main" id="{26E5B486-F81C-4AD7-B226-522CDC151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59" name="Picture 15830">
          <a:extLst>
            <a:ext uri="{FF2B5EF4-FFF2-40B4-BE49-F238E27FC236}">
              <a16:creationId xmlns:a16="http://schemas.microsoft.com/office/drawing/2014/main" id="{89159A05-D0C7-482A-9A9A-1D27AB80F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0" name="Picture 15830">
          <a:extLst>
            <a:ext uri="{FF2B5EF4-FFF2-40B4-BE49-F238E27FC236}">
              <a16:creationId xmlns:a16="http://schemas.microsoft.com/office/drawing/2014/main" id="{3CC4F9AF-8F4D-45B0-B786-7FF9CD744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1" name="Picture 2" descr="A TY PPHONG.PNG">
          <a:extLst>
            <a:ext uri="{FF2B5EF4-FFF2-40B4-BE49-F238E27FC236}">
              <a16:creationId xmlns:a16="http://schemas.microsoft.com/office/drawing/2014/main" id="{416F0A8F-6697-48B9-80D6-EDEC67A13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2" name="Picture 15830">
          <a:extLst>
            <a:ext uri="{FF2B5EF4-FFF2-40B4-BE49-F238E27FC236}">
              <a16:creationId xmlns:a16="http://schemas.microsoft.com/office/drawing/2014/main" id="{69DB473D-D2C1-4CF4-A4A0-E8B6B4676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3" name="Picture 15830">
          <a:extLst>
            <a:ext uri="{FF2B5EF4-FFF2-40B4-BE49-F238E27FC236}">
              <a16:creationId xmlns:a16="http://schemas.microsoft.com/office/drawing/2014/main" id="{BEBB5C5D-5F78-4129-BA8F-4BD1D5FB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4" name="Picture 2" descr="A TY PPHONG.PNG">
          <a:extLst>
            <a:ext uri="{FF2B5EF4-FFF2-40B4-BE49-F238E27FC236}">
              <a16:creationId xmlns:a16="http://schemas.microsoft.com/office/drawing/2014/main" id="{7337624B-E564-464B-A0B0-7D5BF769C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5" name="Picture 15830">
          <a:extLst>
            <a:ext uri="{FF2B5EF4-FFF2-40B4-BE49-F238E27FC236}">
              <a16:creationId xmlns:a16="http://schemas.microsoft.com/office/drawing/2014/main" id="{120A722D-362F-4341-A933-82C80B6BC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6" name="Picture 15830">
          <a:extLst>
            <a:ext uri="{FF2B5EF4-FFF2-40B4-BE49-F238E27FC236}">
              <a16:creationId xmlns:a16="http://schemas.microsoft.com/office/drawing/2014/main" id="{79D7CC52-B509-4EBF-9432-78326513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67" name="Picture 2" descr="A TY PPHONG.PNG">
          <a:extLst>
            <a:ext uri="{FF2B5EF4-FFF2-40B4-BE49-F238E27FC236}">
              <a16:creationId xmlns:a16="http://schemas.microsoft.com/office/drawing/2014/main" id="{069FF14B-6A1E-43AA-93F5-13EA28595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8" name="Picture 15830">
          <a:extLst>
            <a:ext uri="{FF2B5EF4-FFF2-40B4-BE49-F238E27FC236}">
              <a16:creationId xmlns:a16="http://schemas.microsoft.com/office/drawing/2014/main" id="{E72EF245-0BD4-4F67-A97F-D46E9966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69" name="Picture 15830">
          <a:extLst>
            <a:ext uri="{FF2B5EF4-FFF2-40B4-BE49-F238E27FC236}">
              <a16:creationId xmlns:a16="http://schemas.microsoft.com/office/drawing/2014/main" id="{74AC066C-9256-4032-B31B-6CF5029D7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0" name="Picture 2" descr="A TY PPHONG.PNG">
          <a:extLst>
            <a:ext uri="{FF2B5EF4-FFF2-40B4-BE49-F238E27FC236}">
              <a16:creationId xmlns:a16="http://schemas.microsoft.com/office/drawing/2014/main" id="{BBABDBE0-F7AB-4E1A-8C35-C59BE7A94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1" name="Picture 15830">
          <a:extLst>
            <a:ext uri="{FF2B5EF4-FFF2-40B4-BE49-F238E27FC236}">
              <a16:creationId xmlns:a16="http://schemas.microsoft.com/office/drawing/2014/main" id="{A1275401-7583-49D8-8716-2BD11CF8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2" name="Picture 15830">
          <a:extLst>
            <a:ext uri="{FF2B5EF4-FFF2-40B4-BE49-F238E27FC236}">
              <a16:creationId xmlns:a16="http://schemas.microsoft.com/office/drawing/2014/main" id="{38DE8879-736D-4959-A877-05792967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3" name="Picture 2" descr="A TY PPHONG.PNG">
          <a:extLst>
            <a:ext uri="{FF2B5EF4-FFF2-40B4-BE49-F238E27FC236}">
              <a16:creationId xmlns:a16="http://schemas.microsoft.com/office/drawing/2014/main" id="{0B3DB2A0-E1A9-4486-82B3-7DC6D5D4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4" name="Picture 15830">
          <a:extLst>
            <a:ext uri="{FF2B5EF4-FFF2-40B4-BE49-F238E27FC236}">
              <a16:creationId xmlns:a16="http://schemas.microsoft.com/office/drawing/2014/main" id="{72A9A9AF-4CDF-4274-9473-86321E698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5" name="Picture 15830">
          <a:extLst>
            <a:ext uri="{FF2B5EF4-FFF2-40B4-BE49-F238E27FC236}">
              <a16:creationId xmlns:a16="http://schemas.microsoft.com/office/drawing/2014/main" id="{6368D081-103A-468F-9C49-51E9C42D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6" name="Picture 2" descr="A TY PPHONG.PNG">
          <a:extLst>
            <a:ext uri="{FF2B5EF4-FFF2-40B4-BE49-F238E27FC236}">
              <a16:creationId xmlns:a16="http://schemas.microsoft.com/office/drawing/2014/main" id="{CB02ADE4-1C5F-495A-9536-9ED4BA61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7" name="Picture 15830">
          <a:extLst>
            <a:ext uri="{FF2B5EF4-FFF2-40B4-BE49-F238E27FC236}">
              <a16:creationId xmlns:a16="http://schemas.microsoft.com/office/drawing/2014/main" id="{7DBBEE6E-4334-4051-BBD5-E72423DC8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23</xdr:col>
      <xdr:colOff>63124</xdr:colOff>
      <xdr:row>0</xdr:row>
      <xdr:rowOff>0</xdr:rowOff>
    </xdr:to>
    <xdr:pic>
      <xdr:nvPicPr>
        <xdr:cNvPr id="78" name="Picture 15830">
          <a:extLst>
            <a:ext uri="{FF2B5EF4-FFF2-40B4-BE49-F238E27FC236}">
              <a16:creationId xmlns:a16="http://schemas.microsoft.com/office/drawing/2014/main" id="{1EE87FB7-B044-4A9B-A236-227AE7FEC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978524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79" name="Picture 2" descr="A TY PPHONG.PNG">
          <a:extLst>
            <a:ext uri="{FF2B5EF4-FFF2-40B4-BE49-F238E27FC236}">
              <a16:creationId xmlns:a16="http://schemas.microsoft.com/office/drawing/2014/main" id="{7CC745B9-6B26-45E6-978E-6F668986C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0" name="Picture 15830">
          <a:extLst>
            <a:ext uri="{FF2B5EF4-FFF2-40B4-BE49-F238E27FC236}">
              <a16:creationId xmlns:a16="http://schemas.microsoft.com/office/drawing/2014/main" id="{E1F9902E-3188-41A5-B007-F4BF2A16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1" name="Picture 15830">
          <a:extLst>
            <a:ext uri="{FF2B5EF4-FFF2-40B4-BE49-F238E27FC236}">
              <a16:creationId xmlns:a16="http://schemas.microsoft.com/office/drawing/2014/main" id="{8986C368-2A48-4AE4-B435-F61583B40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2" name="Picture 2" descr="A TY PPHONG.PNG">
          <a:extLst>
            <a:ext uri="{FF2B5EF4-FFF2-40B4-BE49-F238E27FC236}">
              <a16:creationId xmlns:a16="http://schemas.microsoft.com/office/drawing/2014/main" id="{4446983E-CB06-4240-89F4-E83ECCF1B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3" name="Picture 15830">
          <a:extLst>
            <a:ext uri="{FF2B5EF4-FFF2-40B4-BE49-F238E27FC236}">
              <a16:creationId xmlns:a16="http://schemas.microsoft.com/office/drawing/2014/main" id="{DAF3BA37-FEC2-496F-A782-5682F897D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4" name="Picture 15830">
          <a:extLst>
            <a:ext uri="{FF2B5EF4-FFF2-40B4-BE49-F238E27FC236}">
              <a16:creationId xmlns:a16="http://schemas.microsoft.com/office/drawing/2014/main" id="{3C042826-6178-4519-A703-FEEE0F57C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5" name="Picture 2" descr="A TY PPHONG.PNG">
          <a:extLst>
            <a:ext uri="{FF2B5EF4-FFF2-40B4-BE49-F238E27FC236}">
              <a16:creationId xmlns:a16="http://schemas.microsoft.com/office/drawing/2014/main" id="{EA87666F-D22B-41EB-AEAA-902A85738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6" name="Picture 15830">
          <a:extLst>
            <a:ext uri="{FF2B5EF4-FFF2-40B4-BE49-F238E27FC236}">
              <a16:creationId xmlns:a16="http://schemas.microsoft.com/office/drawing/2014/main" id="{3F0B06E3-8C48-4C1E-8D93-5E8E6BD58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7" name="Picture 15830">
          <a:extLst>
            <a:ext uri="{FF2B5EF4-FFF2-40B4-BE49-F238E27FC236}">
              <a16:creationId xmlns:a16="http://schemas.microsoft.com/office/drawing/2014/main" id="{A83DDE1D-629B-497C-A65D-EE20E0244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88" name="Picture 2" descr="A TY PPHONG.PNG">
          <a:extLst>
            <a:ext uri="{FF2B5EF4-FFF2-40B4-BE49-F238E27FC236}">
              <a16:creationId xmlns:a16="http://schemas.microsoft.com/office/drawing/2014/main" id="{E5C3D285-8A22-4306-8D48-D7A3D5F7E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89" name="Picture 15830">
          <a:extLst>
            <a:ext uri="{FF2B5EF4-FFF2-40B4-BE49-F238E27FC236}">
              <a16:creationId xmlns:a16="http://schemas.microsoft.com/office/drawing/2014/main" id="{D9491094-4367-4DAA-A5A2-08710F195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0" name="Picture 15830">
          <a:extLst>
            <a:ext uri="{FF2B5EF4-FFF2-40B4-BE49-F238E27FC236}">
              <a16:creationId xmlns:a16="http://schemas.microsoft.com/office/drawing/2014/main" id="{C68968CB-B901-4040-B04D-261A92C5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1" name="Picture 2" descr="A TY PPHONG.PNG">
          <a:extLst>
            <a:ext uri="{FF2B5EF4-FFF2-40B4-BE49-F238E27FC236}">
              <a16:creationId xmlns:a16="http://schemas.microsoft.com/office/drawing/2014/main" id="{E6C517F4-8C6E-4238-BFC0-61CC0F816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2" name="Picture 15830">
          <a:extLst>
            <a:ext uri="{FF2B5EF4-FFF2-40B4-BE49-F238E27FC236}">
              <a16:creationId xmlns:a16="http://schemas.microsoft.com/office/drawing/2014/main" id="{342F2F71-10C3-463A-97F0-443AE8FE2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3" name="Picture 15830">
          <a:extLst>
            <a:ext uri="{FF2B5EF4-FFF2-40B4-BE49-F238E27FC236}">
              <a16:creationId xmlns:a16="http://schemas.microsoft.com/office/drawing/2014/main" id="{2E1C7480-3C25-414B-93B3-33BD757AB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4" name="Picture 2" descr="A TY PPHONG.PNG">
          <a:extLst>
            <a:ext uri="{FF2B5EF4-FFF2-40B4-BE49-F238E27FC236}">
              <a16:creationId xmlns:a16="http://schemas.microsoft.com/office/drawing/2014/main" id="{641E88EC-E73E-4EF6-9665-35C4881DD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5" name="Picture 15830">
          <a:extLst>
            <a:ext uri="{FF2B5EF4-FFF2-40B4-BE49-F238E27FC236}">
              <a16:creationId xmlns:a16="http://schemas.microsoft.com/office/drawing/2014/main" id="{F06DE8EB-133E-4CBC-BC2B-5CEF2ACCE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6" name="Picture 15830">
          <a:extLst>
            <a:ext uri="{FF2B5EF4-FFF2-40B4-BE49-F238E27FC236}">
              <a16:creationId xmlns:a16="http://schemas.microsoft.com/office/drawing/2014/main" id="{A9E9F3E4-5E7E-4761-9C4C-F19ACE5E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97" name="Picture 2" descr="A TY PPHONG.PNG">
          <a:extLst>
            <a:ext uri="{FF2B5EF4-FFF2-40B4-BE49-F238E27FC236}">
              <a16:creationId xmlns:a16="http://schemas.microsoft.com/office/drawing/2014/main" id="{4CEDF410-EBFA-46D8-BE8B-3B858275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8" name="Picture 15830">
          <a:extLst>
            <a:ext uri="{FF2B5EF4-FFF2-40B4-BE49-F238E27FC236}">
              <a16:creationId xmlns:a16="http://schemas.microsoft.com/office/drawing/2014/main" id="{B1FB4B6D-9FFE-463C-A286-068748D29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99" name="Picture 15830">
          <a:extLst>
            <a:ext uri="{FF2B5EF4-FFF2-40B4-BE49-F238E27FC236}">
              <a16:creationId xmlns:a16="http://schemas.microsoft.com/office/drawing/2014/main" id="{357C2CEF-235C-4577-B4EC-9FEF7FA8B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0" name="Picture 2" descr="A TY PPHONG.PNG">
          <a:extLst>
            <a:ext uri="{FF2B5EF4-FFF2-40B4-BE49-F238E27FC236}">
              <a16:creationId xmlns:a16="http://schemas.microsoft.com/office/drawing/2014/main" id="{4A698669-920F-4015-BC97-C6E408781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1" name="Picture 15830">
          <a:extLst>
            <a:ext uri="{FF2B5EF4-FFF2-40B4-BE49-F238E27FC236}">
              <a16:creationId xmlns:a16="http://schemas.microsoft.com/office/drawing/2014/main" id="{0C6974F5-9074-4FED-8507-E7E27B4D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2" name="Picture 2" descr="A TY PPHONG.PNG">
          <a:extLst>
            <a:ext uri="{FF2B5EF4-FFF2-40B4-BE49-F238E27FC236}">
              <a16:creationId xmlns:a16="http://schemas.microsoft.com/office/drawing/2014/main" id="{5C7C7B76-2EBF-447B-8611-5187A8112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3" name="Picture 15830">
          <a:extLst>
            <a:ext uri="{FF2B5EF4-FFF2-40B4-BE49-F238E27FC236}">
              <a16:creationId xmlns:a16="http://schemas.microsoft.com/office/drawing/2014/main" id="{31CAF153-AAF3-4DF1-A882-68DB6C06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04" name="Picture 2" descr="A TY PPHONG.PNG">
          <a:extLst>
            <a:ext uri="{FF2B5EF4-FFF2-40B4-BE49-F238E27FC236}">
              <a16:creationId xmlns:a16="http://schemas.microsoft.com/office/drawing/2014/main" id="{BCD0C29C-CDE0-41A0-8231-5BEC9A63B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5" name="Picture 15830">
          <a:extLst>
            <a:ext uri="{FF2B5EF4-FFF2-40B4-BE49-F238E27FC236}">
              <a16:creationId xmlns:a16="http://schemas.microsoft.com/office/drawing/2014/main" id="{03FC6FE3-1EAC-493F-A308-32F016D8E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442830</xdr:colOff>
      <xdr:row>0</xdr:row>
      <xdr:rowOff>0</xdr:rowOff>
    </xdr:to>
    <xdr:pic>
      <xdr:nvPicPr>
        <xdr:cNvPr id="106" name="Picture 2" descr="A TY PPHONG.PNG">
          <a:extLst>
            <a:ext uri="{FF2B5EF4-FFF2-40B4-BE49-F238E27FC236}">
              <a16:creationId xmlns:a16="http://schemas.microsoft.com/office/drawing/2014/main" id="{339B2BCF-E594-49D4-9E47-235033459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0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7" name="Picture 15830">
          <a:extLst>
            <a:ext uri="{FF2B5EF4-FFF2-40B4-BE49-F238E27FC236}">
              <a16:creationId xmlns:a16="http://schemas.microsoft.com/office/drawing/2014/main" id="{07E3E1E7-2D90-404B-B93F-C0824C3BD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08" name="Picture 15830">
          <a:extLst>
            <a:ext uri="{FF2B5EF4-FFF2-40B4-BE49-F238E27FC236}">
              <a16:creationId xmlns:a16="http://schemas.microsoft.com/office/drawing/2014/main" id="{185E634A-8FF8-42A1-8F55-BE723EB8F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442830</xdr:colOff>
      <xdr:row>0</xdr:row>
      <xdr:rowOff>0</xdr:rowOff>
    </xdr:to>
    <xdr:pic>
      <xdr:nvPicPr>
        <xdr:cNvPr id="109" name="Picture 2" descr="A TY PPHONG.PNG">
          <a:extLst>
            <a:ext uri="{FF2B5EF4-FFF2-40B4-BE49-F238E27FC236}">
              <a16:creationId xmlns:a16="http://schemas.microsoft.com/office/drawing/2014/main" id="{361BF412-F429-4028-B3BE-05AB32496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0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0" name="Picture 15830">
          <a:extLst>
            <a:ext uri="{FF2B5EF4-FFF2-40B4-BE49-F238E27FC236}">
              <a16:creationId xmlns:a16="http://schemas.microsoft.com/office/drawing/2014/main" id="{EF892A56-2306-49E5-B9CB-BD277A2FC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1" name="Picture 15830">
          <a:extLst>
            <a:ext uri="{FF2B5EF4-FFF2-40B4-BE49-F238E27FC236}">
              <a16:creationId xmlns:a16="http://schemas.microsoft.com/office/drawing/2014/main" id="{CFEFA5EA-F80E-44AB-967E-13C44F98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12" name="Picture 2" descr="A TY PPHONG.PNG">
          <a:extLst>
            <a:ext uri="{FF2B5EF4-FFF2-40B4-BE49-F238E27FC236}">
              <a16:creationId xmlns:a16="http://schemas.microsoft.com/office/drawing/2014/main" id="{DB5A8901-D866-46C9-90D6-1E4EBF18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3" name="Picture 15830">
          <a:extLst>
            <a:ext uri="{FF2B5EF4-FFF2-40B4-BE49-F238E27FC236}">
              <a16:creationId xmlns:a16="http://schemas.microsoft.com/office/drawing/2014/main" id="{742E6C51-4355-4858-88C6-7E264908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22</xdr:col>
      <xdr:colOff>547607</xdr:colOff>
      <xdr:row>0</xdr:row>
      <xdr:rowOff>0</xdr:rowOff>
    </xdr:to>
    <xdr:pic>
      <xdr:nvPicPr>
        <xdr:cNvPr id="114" name="Picture 15830">
          <a:extLst>
            <a:ext uri="{FF2B5EF4-FFF2-40B4-BE49-F238E27FC236}">
              <a16:creationId xmlns:a16="http://schemas.microsoft.com/office/drawing/2014/main" id="{ACABC0B5-27D6-4D4B-9179-30DD49DA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452355</xdr:colOff>
      <xdr:row>0</xdr:row>
      <xdr:rowOff>0</xdr:rowOff>
    </xdr:to>
    <xdr:pic>
      <xdr:nvPicPr>
        <xdr:cNvPr id="115" name="Picture 2" descr="A TY PPHONG.PNG">
          <a:extLst>
            <a:ext uri="{FF2B5EF4-FFF2-40B4-BE49-F238E27FC236}">
              <a16:creationId xmlns:a16="http://schemas.microsoft.com/office/drawing/2014/main" id="{C93895F4-025E-409C-A4FA-96AB3D03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16" name="Picture 15830">
          <a:extLst>
            <a:ext uri="{FF2B5EF4-FFF2-40B4-BE49-F238E27FC236}">
              <a16:creationId xmlns:a16="http://schemas.microsoft.com/office/drawing/2014/main" id="{62CABE2E-D4F0-41CD-9BB8-4621E5AA8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17" name="Picture 15830">
          <a:extLst>
            <a:ext uri="{FF2B5EF4-FFF2-40B4-BE49-F238E27FC236}">
              <a16:creationId xmlns:a16="http://schemas.microsoft.com/office/drawing/2014/main" id="{174580D4-A49B-4700-9F17-03B2416B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18" name="Picture 2" descr="A TY PPHONG.PNG">
          <a:extLst>
            <a:ext uri="{FF2B5EF4-FFF2-40B4-BE49-F238E27FC236}">
              <a16:creationId xmlns:a16="http://schemas.microsoft.com/office/drawing/2014/main" id="{A2C32C37-33A0-4D8D-858E-8F855AF45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19" name="Picture 15830">
          <a:extLst>
            <a:ext uri="{FF2B5EF4-FFF2-40B4-BE49-F238E27FC236}">
              <a16:creationId xmlns:a16="http://schemas.microsoft.com/office/drawing/2014/main" id="{DDB02E5E-CAC5-4F07-8CB8-AFD2F4CE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20" name="Picture 15830">
          <a:extLst>
            <a:ext uri="{FF2B5EF4-FFF2-40B4-BE49-F238E27FC236}">
              <a16:creationId xmlns:a16="http://schemas.microsoft.com/office/drawing/2014/main" id="{493F4C0C-6E9A-489F-9193-8C3C59616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21" name="Picture 2" descr="A TY PPHONG.PNG">
          <a:extLst>
            <a:ext uri="{FF2B5EF4-FFF2-40B4-BE49-F238E27FC236}">
              <a16:creationId xmlns:a16="http://schemas.microsoft.com/office/drawing/2014/main" id="{BA952C37-492F-4DD1-9BC2-6B849BCC5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22" name="Picture 15830">
          <a:extLst>
            <a:ext uri="{FF2B5EF4-FFF2-40B4-BE49-F238E27FC236}">
              <a16:creationId xmlns:a16="http://schemas.microsoft.com/office/drawing/2014/main" id="{36C32759-AEB8-42AF-ABB8-3835995F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23" name="Picture 15830">
          <a:extLst>
            <a:ext uri="{FF2B5EF4-FFF2-40B4-BE49-F238E27FC236}">
              <a16:creationId xmlns:a16="http://schemas.microsoft.com/office/drawing/2014/main" id="{66392FEE-2A0D-4A10-A08B-6E57802C4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24" name="Picture 2" descr="A TY PPHONG.PNG">
          <a:extLst>
            <a:ext uri="{FF2B5EF4-FFF2-40B4-BE49-F238E27FC236}">
              <a16:creationId xmlns:a16="http://schemas.microsoft.com/office/drawing/2014/main" id="{BC2C78AA-D523-40E9-BF6F-935182816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25" name="Picture 15830">
          <a:extLst>
            <a:ext uri="{FF2B5EF4-FFF2-40B4-BE49-F238E27FC236}">
              <a16:creationId xmlns:a16="http://schemas.microsoft.com/office/drawing/2014/main" id="{3FC519F8-F404-4788-9D3E-B135D7E16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26" name="Picture 15830">
          <a:extLst>
            <a:ext uri="{FF2B5EF4-FFF2-40B4-BE49-F238E27FC236}">
              <a16:creationId xmlns:a16="http://schemas.microsoft.com/office/drawing/2014/main" id="{3856CB95-16A8-4AF1-AA9A-A65F6AB1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27" name="Picture 2" descr="A TY PPHONG.PNG">
          <a:extLst>
            <a:ext uri="{FF2B5EF4-FFF2-40B4-BE49-F238E27FC236}">
              <a16:creationId xmlns:a16="http://schemas.microsoft.com/office/drawing/2014/main" id="{9ABEDC6D-A164-4821-A27A-753CE778D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28" name="Picture 15830">
          <a:extLst>
            <a:ext uri="{FF2B5EF4-FFF2-40B4-BE49-F238E27FC236}">
              <a16:creationId xmlns:a16="http://schemas.microsoft.com/office/drawing/2014/main" id="{193656CA-C5C6-46BE-9F20-F8CAEAA64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29" name="Picture 15830">
          <a:extLst>
            <a:ext uri="{FF2B5EF4-FFF2-40B4-BE49-F238E27FC236}">
              <a16:creationId xmlns:a16="http://schemas.microsoft.com/office/drawing/2014/main" id="{B5091AB1-0445-48CB-A190-3FA09F95D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30" name="Picture 2" descr="A TY PPHONG.PNG">
          <a:extLst>
            <a:ext uri="{FF2B5EF4-FFF2-40B4-BE49-F238E27FC236}">
              <a16:creationId xmlns:a16="http://schemas.microsoft.com/office/drawing/2014/main" id="{2178CBFA-BB89-4A2D-A6CD-ED303C58F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31" name="Picture 15830">
          <a:extLst>
            <a:ext uri="{FF2B5EF4-FFF2-40B4-BE49-F238E27FC236}">
              <a16:creationId xmlns:a16="http://schemas.microsoft.com/office/drawing/2014/main" id="{CDAF34D8-2322-42F2-97E8-C93F4254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32" name="Picture 15830">
          <a:extLst>
            <a:ext uri="{FF2B5EF4-FFF2-40B4-BE49-F238E27FC236}">
              <a16:creationId xmlns:a16="http://schemas.microsoft.com/office/drawing/2014/main" id="{F4A0E6CA-389A-421B-AD1D-5C3858E6A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33" name="Picture 2" descr="A TY PPHONG.PNG">
          <a:extLst>
            <a:ext uri="{FF2B5EF4-FFF2-40B4-BE49-F238E27FC236}">
              <a16:creationId xmlns:a16="http://schemas.microsoft.com/office/drawing/2014/main" id="{28B7B332-F07B-463E-A1A8-0707CB3FA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34" name="Picture 15830">
          <a:extLst>
            <a:ext uri="{FF2B5EF4-FFF2-40B4-BE49-F238E27FC236}">
              <a16:creationId xmlns:a16="http://schemas.microsoft.com/office/drawing/2014/main" id="{1CD1D25D-09CC-47C2-AA0A-E514D200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35" name="Picture 15830">
          <a:extLst>
            <a:ext uri="{FF2B5EF4-FFF2-40B4-BE49-F238E27FC236}">
              <a16:creationId xmlns:a16="http://schemas.microsoft.com/office/drawing/2014/main" id="{0F76963F-31A0-43EC-ACD2-E4035CF85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36" name="Picture 2" descr="A TY PPHONG.PNG">
          <a:extLst>
            <a:ext uri="{FF2B5EF4-FFF2-40B4-BE49-F238E27FC236}">
              <a16:creationId xmlns:a16="http://schemas.microsoft.com/office/drawing/2014/main" id="{0F841220-8E8A-4BCB-9F33-9B16D55FA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37" name="Picture 15830">
          <a:extLst>
            <a:ext uri="{FF2B5EF4-FFF2-40B4-BE49-F238E27FC236}">
              <a16:creationId xmlns:a16="http://schemas.microsoft.com/office/drawing/2014/main" id="{B390265A-179B-49EC-BF98-6D3227E90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38" name="Picture 15830">
          <a:extLst>
            <a:ext uri="{FF2B5EF4-FFF2-40B4-BE49-F238E27FC236}">
              <a16:creationId xmlns:a16="http://schemas.microsoft.com/office/drawing/2014/main" id="{756F166E-7406-43C4-B794-8DCC1825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39" name="Picture 2" descr="A TY PPHONG.PNG">
          <a:extLst>
            <a:ext uri="{FF2B5EF4-FFF2-40B4-BE49-F238E27FC236}">
              <a16:creationId xmlns:a16="http://schemas.microsoft.com/office/drawing/2014/main" id="{3D46A982-A399-4CC3-A7BF-515B8F2C6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40" name="Picture 15830">
          <a:extLst>
            <a:ext uri="{FF2B5EF4-FFF2-40B4-BE49-F238E27FC236}">
              <a16:creationId xmlns:a16="http://schemas.microsoft.com/office/drawing/2014/main" id="{8CE6B16B-5A6F-4936-8DA5-446ACF779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41" name="Picture 15830">
          <a:extLst>
            <a:ext uri="{FF2B5EF4-FFF2-40B4-BE49-F238E27FC236}">
              <a16:creationId xmlns:a16="http://schemas.microsoft.com/office/drawing/2014/main" id="{C3577E92-2032-4FE4-BE31-04401577A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42" name="Picture 2" descr="A TY PPHONG.PNG">
          <a:extLst>
            <a:ext uri="{FF2B5EF4-FFF2-40B4-BE49-F238E27FC236}">
              <a16:creationId xmlns:a16="http://schemas.microsoft.com/office/drawing/2014/main" id="{B8AE9023-64D1-46B7-A58C-874AF7AF2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43" name="Picture 15830">
          <a:extLst>
            <a:ext uri="{FF2B5EF4-FFF2-40B4-BE49-F238E27FC236}">
              <a16:creationId xmlns:a16="http://schemas.microsoft.com/office/drawing/2014/main" id="{877AF8FB-39EF-4810-A777-6C74ABDA0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44" name="Picture 15830">
          <a:extLst>
            <a:ext uri="{FF2B5EF4-FFF2-40B4-BE49-F238E27FC236}">
              <a16:creationId xmlns:a16="http://schemas.microsoft.com/office/drawing/2014/main" id="{883CB93A-53A4-47D5-8563-798BCB3FE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45" name="Picture 2" descr="A TY PPHONG.PNG">
          <a:extLst>
            <a:ext uri="{FF2B5EF4-FFF2-40B4-BE49-F238E27FC236}">
              <a16:creationId xmlns:a16="http://schemas.microsoft.com/office/drawing/2014/main" id="{DBF09BC9-E696-4F5B-AC6C-EB246C876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46" name="Picture 15830">
          <a:extLst>
            <a:ext uri="{FF2B5EF4-FFF2-40B4-BE49-F238E27FC236}">
              <a16:creationId xmlns:a16="http://schemas.microsoft.com/office/drawing/2014/main" id="{2A3EC439-4E4B-4753-894F-EDC23133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22</xdr:col>
      <xdr:colOff>547607</xdr:colOff>
      <xdr:row>15</xdr:row>
      <xdr:rowOff>0</xdr:rowOff>
    </xdr:to>
    <xdr:pic>
      <xdr:nvPicPr>
        <xdr:cNvPr id="147" name="Picture 15830">
          <a:extLst>
            <a:ext uri="{FF2B5EF4-FFF2-40B4-BE49-F238E27FC236}">
              <a16:creationId xmlns:a16="http://schemas.microsoft.com/office/drawing/2014/main" id="{D341A8B0-1B08-485A-B1E2-1587A641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877720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13</xdr:col>
      <xdr:colOff>452355</xdr:colOff>
      <xdr:row>15</xdr:row>
      <xdr:rowOff>0</xdr:rowOff>
    </xdr:to>
    <xdr:pic>
      <xdr:nvPicPr>
        <xdr:cNvPr id="148" name="Picture 2" descr="A TY PPHONG.PNG">
          <a:extLst>
            <a:ext uri="{FF2B5EF4-FFF2-40B4-BE49-F238E27FC236}">
              <a16:creationId xmlns:a16="http://schemas.microsoft.com/office/drawing/2014/main" id="{50F9784E-B376-410A-83E6-54726F8A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250975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17</xdr:col>
      <xdr:colOff>72649</xdr:colOff>
      <xdr:row>0</xdr:row>
      <xdr:rowOff>0</xdr:rowOff>
    </xdr:to>
    <xdr:pic>
      <xdr:nvPicPr>
        <xdr:cNvPr id="149" name="Picture 2" descr="A TY PPHONG.PNG">
          <a:extLst>
            <a:ext uri="{FF2B5EF4-FFF2-40B4-BE49-F238E27FC236}">
              <a16:creationId xmlns:a16="http://schemas.microsoft.com/office/drawing/2014/main" id="{F1F18C8B-E209-44C4-A6DB-D605BB8AE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72649</xdr:colOff>
      <xdr:row>15</xdr:row>
      <xdr:rowOff>0</xdr:rowOff>
    </xdr:to>
    <xdr:pic>
      <xdr:nvPicPr>
        <xdr:cNvPr id="150" name="Picture 2" descr="A TY PPHONG.PNG">
          <a:extLst>
            <a:ext uri="{FF2B5EF4-FFF2-40B4-BE49-F238E27FC236}">
              <a16:creationId xmlns:a16="http://schemas.microsoft.com/office/drawing/2014/main" id="{986DBF5A-450E-46C5-9A3C-C40B21B5B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72649</xdr:colOff>
      <xdr:row>15</xdr:row>
      <xdr:rowOff>0</xdr:rowOff>
    </xdr:to>
    <xdr:pic>
      <xdr:nvPicPr>
        <xdr:cNvPr id="151" name="Picture 2" descr="A TY PPHONG.PNG">
          <a:extLst>
            <a:ext uri="{FF2B5EF4-FFF2-40B4-BE49-F238E27FC236}">
              <a16:creationId xmlns:a16="http://schemas.microsoft.com/office/drawing/2014/main" id="{8E74E99D-186C-43F5-A296-A491F00C1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72649</xdr:colOff>
      <xdr:row>15</xdr:row>
      <xdr:rowOff>0</xdr:rowOff>
    </xdr:to>
    <xdr:pic>
      <xdr:nvPicPr>
        <xdr:cNvPr id="152" name="Picture 2" descr="A TY PPHONG.PNG">
          <a:extLst>
            <a:ext uri="{FF2B5EF4-FFF2-40B4-BE49-F238E27FC236}">
              <a16:creationId xmlns:a16="http://schemas.microsoft.com/office/drawing/2014/main" id="{F5273FBD-7FAD-444C-ABC2-FBF3C1482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72649</xdr:colOff>
      <xdr:row>15</xdr:row>
      <xdr:rowOff>0</xdr:rowOff>
    </xdr:to>
    <xdr:pic>
      <xdr:nvPicPr>
        <xdr:cNvPr id="153" name="Picture 2" descr="A TY PPHONG.PNG">
          <a:extLst>
            <a:ext uri="{FF2B5EF4-FFF2-40B4-BE49-F238E27FC236}">
              <a16:creationId xmlns:a16="http://schemas.microsoft.com/office/drawing/2014/main" id="{E910F09E-0639-457F-99FB-929828900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72649</xdr:colOff>
      <xdr:row>15</xdr:row>
      <xdr:rowOff>0</xdr:rowOff>
    </xdr:to>
    <xdr:pic>
      <xdr:nvPicPr>
        <xdr:cNvPr id="154" name="Picture 2" descr="A TY PPHONG.PNG">
          <a:extLst>
            <a:ext uri="{FF2B5EF4-FFF2-40B4-BE49-F238E27FC236}">
              <a16:creationId xmlns:a16="http://schemas.microsoft.com/office/drawing/2014/main" id="{1721D05F-ECFF-4A74-A671-3533EB9EC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72649</xdr:colOff>
      <xdr:row>15</xdr:row>
      <xdr:rowOff>0</xdr:rowOff>
    </xdr:to>
    <xdr:pic>
      <xdr:nvPicPr>
        <xdr:cNvPr id="155" name="Picture 2" descr="A TY PPHONG.PNG">
          <a:extLst>
            <a:ext uri="{FF2B5EF4-FFF2-40B4-BE49-F238E27FC236}">
              <a16:creationId xmlns:a16="http://schemas.microsoft.com/office/drawing/2014/main" id="{C4BBD070-5491-42E2-8958-54A3A7E8E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72649</xdr:colOff>
      <xdr:row>15</xdr:row>
      <xdr:rowOff>0</xdr:rowOff>
    </xdr:to>
    <xdr:pic>
      <xdr:nvPicPr>
        <xdr:cNvPr id="156" name="Picture 2" descr="A TY PPHONG.PNG">
          <a:extLst>
            <a:ext uri="{FF2B5EF4-FFF2-40B4-BE49-F238E27FC236}">
              <a16:creationId xmlns:a16="http://schemas.microsoft.com/office/drawing/2014/main" id="{B9D42776-A327-4337-87F4-1DEF7AA1A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72649</xdr:colOff>
      <xdr:row>15</xdr:row>
      <xdr:rowOff>0</xdr:rowOff>
    </xdr:to>
    <xdr:pic>
      <xdr:nvPicPr>
        <xdr:cNvPr id="157" name="Picture 2" descr="A TY PPHONG.PNG">
          <a:extLst>
            <a:ext uri="{FF2B5EF4-FFF2-40B4-BE49-F238E27FC236}">
              <a16:creationId xmlns:a16="http://schemas.microsoft.com/office/drawing/2014/main" id="{617AD64A-1C04-4AB5-8064-D936DE87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4210050"/>
          <a:ext cx="487324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gnt2\Downloads\INV%20PKL%207726013%20Thao.xlsx" TargetMode="External"/><Relationship Id="rId1" Type="http://schemas.openxmlformats.org/officeDocument/2006/relationships/externalLinkPath" Target="file:///C:\Users\hangnt2\Downloads\INV%20PKL%207726013%20Tha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4754\Documents\Zalo%20Received%20Files\SHIPPING%20DOCS%20GLF-5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GUYENHANG.ZEN\OneDrive%20-%20SCAVI%20JS\Desktop\Copy%20of%20FILE%20THEO%20DOI%20YMM,%20PEI,%20LR%2021%2012%20(version%202).xlsx" TargetMode="External"/><Relationship Id="rId1" Type="http://schemas.openxmlformats.org/officeDocument/2006/relationships/externalLinkPath" Target="file:///E:\NGUYENHANG.ZEN\OneDrive%20-%20SCAVI%20JS\Desktop\Copy%20of%20FILE%20THEO%20DOI%20YMM,%20PEI,%20LR%2021%2012%20(version%202)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BCT%20HAI%20QUAN%20-7726477%20SIN.xlsx" TargetMode="External"/><Relationship Id="rId2" Type="http://schemas.openxmlformats.org/officeDocument/2006/relationships/externalLinkPath" Target="file:///Z:\%5e%20HANG\2.%20PERRY\2026\15%20PEI036N01831VN0&#160;%20SINGAPORE%20US\BCT%20HAI%20QUAN%20-7726477%20SIN.xlsx" TargetMode="External"/><Relationship Id="rId1" Type="http://schemas.openxmlformats.org/officeDocument/2006/relationships/externalLinkPath" Target="/%5e%20HANG/2.%20PERRY/2026/15%20PEI036N01831VN0&#160;%20SINGAPORE%20US/BCT%20HAI%20QUAN%20-7726477%20SIN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/NH&#7882;P%20TH&#193;NG%2012/11%207725674%20SIN%2002/DOC/INV%20PKL%207725674.xlsx" TargetMode="External"/><Relationship Id="rId2" Type="http://schemas.openxmlformats.org/officeDocument/2006/relationships/externalLinkPath" Target="file:///Z:\%5e%20HANG\2.%20PERRY\2025\NH&#7882;P%20TH&#193;NG%2012\11%207725674%20SIN%2002\DOC\INV%20PKL%207725674.xlsx" TargetMode="External"/><Relationship Id="rId1" Type="http://schemas.openxmlformats.org/officeDocument/2006/relationships/externalLinkPath" Target="/%5e%20HANG/2.%20PERRY/2025/NH&#7882;P%20TH&#193;NG%2012/11%207725674%20SIN%2002/DOC/INV%20PKL%20772567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ngatang"/>
      <sheetName val="packinglist"/>
      <sheetName val="INVOICE 11"/>
      <sheetName val="SOLID PLAJ884"/>
      <sheetName val="IRREGULAR SS PLAJ884"/>
      <sheetName val="SOLID PLGU95"/>
      <sheetName val="IRREGULAR SS PLGU95"/>
      <sheetName val="SOLID PLHT26"/>
      <sheetName val="IRREGULAR SS PLHT26"/>
      <sheetName val="SOLID PLSZ484"/>
      <sheetName val="IRREGULAR SS PLSZ484"/>
      <sheetName val="SOLID PLTO258"/>
      <sheetName val="IRREGULAR SS PLTO258"/>
      <sheetName val="SOLID PLSZ469"/>
      <sheetName val="IRREGULAR SS PLSZ469"/>
      <sheetName val="SOLID PLTO241"/>
      <sheetName val="IRREGULAR SS PLTO241"/>
      <sheetName val="XL90"/>
      <sheetName val="PLS XL90"/>
      <sheetName val="Sheet6"/>
      <sheetName val="Sheet1"/>
    </sheetNames>
    <sheetDataSet>
      <sheetData sheetId="0" refreshError="1"/>
      <sheetData sheetId="1" refreshError="1"/>
      <sheetData sheetId="2">
        <row r="2">
          <cell r="N2">
            <v>7725648</v>
          </cell>
        </row>
        <row r="7">
          <cell r="C7" t="str">
            <v>SUPREME INTERNATIONAL, LLC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rcial "/>
      <sheetName val="packinglist"/>
      <sheetName val="PLD"/>
      <sheetName val="PLS"/>
      <sheetName val="Multiple"/>
      <sheetName val="Manu"/>
      <sheetName val="CGKS9028"/>
      <sheetName val="CGKS90H5"/>
      <sheetName val="CGKS9033"/>
      <sheetName val="CGKR9043- CGKR943X"/>
      <sheetName val="CGKS9013"/>
      <sheetName val="CGKS9003"/>
      <sheetName val="CGKS8070-CGKS870W"/>
      <sheetName val="CGKS911W"/>
      <sheetName val="CGKS9017"/>
      <sheetName val="00000000"/>
      <sheetName val="10000000"/>
      <sheetName val="20000000"/>
      <sheetName val="Sheet1"/>
    </sheetNames>
    <sheetDataSet>
      <sheetData sheetId="0">
        <row r="2">
          <cell r="A2" t="str">
            <v>Seller :</v>
          </cell>
          <cell r="D2" t="str">
            <v>Invoice No. and date :</v>
          </cell>
        </row>
        <row r="15">
          <cell r="A15" t="str">
            <v>VESSEL NO:</v>
          </cell>
        </row>
        <row r="16">
          <cell r="A16" t="str">
            <v xml:space="preserve">FCR NO: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ngatang"/>
      <sheetName val="MA HANG DELTA"/>
      <sheetName val="phu luc - van anh"/>
      <sheetName val="DELTA chi tiết hàng"/>
      <sheetName val="FOB Khách POND"/>
      <sheetName val="theo dõi PERRY"/>
      <sheetName val="ĐỊnh mức POND Delta"/>
      <sheetName val="địa chỉ"/>
      <sheetName val="theo doi xử lý hàng DELTA "/>
      <sheetName val="Theo doi POND + PONDF"/>
      <sheetName val="THEO DOI"/>
      <sheetName val="Theo doi POND F"/>
      <sheetName val="Theo doi PDSPACE"/>
      <sheetName val="Định mức"/>
      <sheetName val="PO approve HS FOB price"/>
      <sheetName val="ma hang mer chinh"/>
      <sheetName val="danh muc PERRY, YMM"/>
      <sheetName val="giá FOB"/>
      <sheetName val="PERRY tổng hợp shipment"/>
      <sheetName val="Sheet4"/>
      <sheetName val="LC report INTICOM"/>
      <sheetName val="LC report "/>
      <sheetName val="tong hop giao hang ddp (2)"/>
      <sheetName val="theo doi LR"/>
      <sheetName val="PERRY"/>
      <sheetName val="theo doi quảng điền+ med"/>
      <sheetName val="theo doi 2024"/>
      <sheetName val="gia công lại"/>
      <sheetName val="Sheet1"/>
      <sheetName val="YMM"/>
      <sheetName val="mã hàng YMM"/>
      <sheetName val="CHi tiết hàng perry"/>
      <sheetName val="Yamamay art 2020"/>
      <sheetName val="phu kien hang Banwol"/>
      <sheetName val="họp đồng lazybee"/>
      <sheetName val="Mã hàng PERRY"/>
      <sheetName val="he thong"/>
      <sheetName val="Sheet2"/>
      <sheetName val="CPN QUốc tế"/>
      <sheetName val="Theo dõi CPN QUốc tế "/>
      <sheetName val="theo dõi khách hàng"/>
      <sheetName val="mã hàng BOODY "/>
      <sheetName val="Mã cảng"/>
      <sheetName val="MA MERKAVA"/>
      <sheetName val="tong hop giao hang d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625">
          <cell r="F2625" t="str">
            <v>NESSG406</v>
          </cell>
          <cell r="G2625" t="str">
            <v>83/17 RECYCLED POLY/ELAS</v>
          </cell>
        </row>
        <row r="2626">
          <cell r="F2626" t="str">
            <v>NESSG407</v>
          </cell>
          <cell r="G2626" t="str">
            <v>83/17 RECYCLED POLY/ELAS</v>
          </cell>
        </row>
        <row r="2627">
          <cell r="F2627" t="str">
            <v>NESSG408</v>
          </cell>
          <cell r="G2627" t="str">
            <v>83/17 RECYCLED POLY/ELAS</v>
          </cell>
        </row>
        <row r="2628">
          <cell r="F2628" t="str">
            <v>NESSG409</v>
          </cell>
          <cell r="G2628" t="str">
            <v>92/8 POLYESTER/ELASTANE</v>
          </cell>
        </row>
        <row r="2629">
          <cell r="F2629" t="str">
            <v>NESSG410</v>
          </cell>
          <cell r="G2629" t="str">
            <v>83/17 RECYCLED POLY/ELAS</v>
          </cell>
        </row>
        <row r="2630">
          <cell r="F2630" t="str">
            <v>NESSG730</v>
          </cell>
          <cell r="G2630" t="str">
            <v>80/20 POLYAMIDE/ELASTANE</v>
          </cell>
        </row>
        <row r="2631">
          <cell r="F2631" t="str">
            <v>NESSG731</v>
          </cell>
          <cell r="G2631" t="str">
            <v>80/20 POLYAMIDE/ELASTANE</v>
          </cell>
        </row>
        <row r="2632">
          <cell r="F2632" t="str">
            <v>NESSG756</v>
          </cell>
          <cell r="G2632" t="str">
            <v>82/18 POLYESTER/ELASTANE</v>
          </cell>
        </row>
        <row r="2633">
          <cell r="F2633" t="str">
            <v>NESSG757</v>
          </cell>
          <cell r="G2633" t="str">
            <v>82/18 POLYESTER/ELASTANE</v>
          </cell>
        </row>
        <row r="2634">
          <cell r="F2634" t="str">
            <v>NESSG758</v>
          </cell>
          <cell r="G2634" t="str">
            <v>82/18 POLYESTER/ELASTANE</v>
          </cell>
        </row>
        <row r="2635">
          <cell r="F2635" t="str">
            <v>NESSG060</v>
          </cell>
          <cell r="G2635" t="str">
            <v xml:space="preserve">51/49 RECYCLED POLYESTER/POLYE </v>
          </cell>
        </row>
        <row r="2636">
          <cell r="F2636" t="str">
            <v>NESSG720</v>
          </cell>
          <cell r="G2636" t="str">
            <v>80/20 POLYAMIDE/ELASTANE</v>
          </cell>
        </row>
        <row r="2637">
          <cell r="F2637" t="str">
            <v>NESSG775</v>
          </cell>
          <cell r="G2637" t="str">
            <v>82/18 POLYESTER/ELASTANE</v>
          </cell>
        </row>
        <row r="2638">
          <cell r="F2638" t="str">
            <v>NESSB711</v>
          </cell>
          <cell r="G2638" t="str">
            <v>80/20 POLYAMIDE/ELASTANE</v>
          </cell>
        </row>
        <row r="2641">
          <cell r="F2641" t="str">
            <v>NESSF232</v>
          </cell>
        </row>
        <row r="2642">
          <cell r="F2642" t="str">
            <v>NESSF241</v>
          </cell>
          <cell r="G2642" t="str">
            <v xml:space="preserve"> 83/17 RECYCLED POLY/ELAS</v>
          </cell>
        </row>
        <row r="2644">
          <cell r="F2644" t="str">
            <v>NESSF742</v>
          </cell>
          <cell r="G2644" t="str">
            <v>100% POLYESTER</v>
          </cell>
        </row>
        <row r="2645">
          <cell r="F2645" t="str">
            <v>NESSG723</v>
          </cell>
          <cell r="G2645" t="str">
            <v>80/20 POLYAMIDE/ELASTANE</v>
          </cell>
        </row>
        <row r="2646">
          <cell r="F2646" t="str">
            <v>NESSG753</v>
          </cell>
          <cell r="G2646" t="str">
            <v>82/18 POLYESTER/ELASTANE</v>
          </cell>
        </row>
        <row r="2647">
          <cell r="F2647" t="str">
            <v>NESSG754</v>
          </cell>
          <cell r="G2647" t="str">
            <v>82/18 POLYESTER/ELASTANE</v>
          </cell>
        </row>
        <row r="2648">
          <cell r="F2648" t="str">
            <v>NESSG768</v>
          </cell>
          <cell r="G2648" t="str">
            <v>82/18 POLYESTER/ELASTANE</v>
          </cell>
        </row>
        <row r="2649">
          <cell r="F2649" t="str">
            <v>NESSG770</v>
          </cell>
          <cell r="G2649" t="str">
            <v>82/18 POLYESTER/ELASTANE</v>
          </cell>
        </row>
        <row r="2652">
          <cell r="F2652" t="str">
            <v>NESSG769</v>
          </cell>
          <cell r="G2652" t="str">
            <v>80% POLYAMIDE 20% ELASTANE</v>
          </cell>
        </row>
        <row r="2653">
          <cell r="F2653" t="str">
            <v>NESSG774</v>
          </cell>
          <cell r="G2653" t="str">
            <v>82/18 POLYESTER/ELASTANE</v>
          </cell>
        </row>
        <row r="2654">
          <cell r="F2654" t="str">
            <v>NESS9365</v>
          </cell>
          <cell r="G2654" t="str">
            <v>82/18 POLYAMIDE/ELASTANE</v>
          </cell>
        </row>
        <row r="2656">
          <cell r="F2656" t="str">
            <v>NESS9360</v>
          </cell>
          <cell r="G2656" t="str">
            <v>82% POLYAMIDE 18% ELASTANE</v>
          </cell>
        </row>
        <row r="2657">
          <cell r="F2657" t="str">
            <v>NESSF241</v>
          </cell>
          <cell r="G2657" t="str">
            <v>83/17 RECYCLED POLY/ELAS</v>
          </cell>
        </row>
        <row r="2658">
          <cell r="F2658" t="str">
            <v>NESSG268</v>
          </cell>
          <cell r="G2658" t="str">
            <v>83/17 RECYCLED POLY/ELAS</v>
          </cell>
        </row>
        <row r="2659">
          <cell r="F2659" t="str">
            <v>NESSG267</v>
          </cell>
          <cell r="G2659" t="str">
            <v>83/17 RECYCLED POLY/ELAS</v>
          </cell>
        </row>
        <row r="2660">
          <cell r="F2660" t="str">
            <v>NESSG265</v>
          </cell>
          <cell r="G2660" t="str">
            <v>83/17 RECYCLED POLY/ELAS</v>
          </cell>
        </row>
        <row r="2662">
          <cell r="F2662" t="str">
            <v>NESSB764</v>
          </cell>
          <cell r="G2662" t="str">
            <v>80/20 POLYAMIDE/ELASTANE</v>
          </cell>
        </row>
        <row r="2664">
          <cell r="F2664" t="str">
            <v>NESSF760</v>
          </cell>
          <cell r="G2664" t="str">
            <v xml:space="preserve">82/18 POLYESTER/ELASTANE </v>
          </cell>
        </row>
        <row r="2665">
          <cell r="F2665" t="str">
            <v>NESSG238</v>
          </cell>
          <cell r="G2665" t="str">
            <v>83/17 POLYESTER/ELASTANE</v>
          </cell>
        </row>
        <row r="2666">
          <cell r="F2666" t="str">
            <v>NESSG380</v>
          </cell>
          <cell r="G2666" t="str">
            <v>83/17 POLYESTER/ELASTANE</v>
          </cell>
        </row>
        <row r="2667">
          <cell r="F2667" t="str">
            <v>NESSG381</v>
          </cell>
          <cell r="G2667" t="str">
            <v>83/17 POLYESTER/ELASTANE</v>
          </cell>
        </row>
        <row r="2668">
          <cell r="F2668" t="str">
            <v>NESSG382</v>
          </cell>
          <cell r="G2668" t="str">
            <v>83/17 POLYESTER/ELASTANE</v>
          </cell>
        </row>
        <row r="2669">
          <cell r="F2669" t="str">
            <v>NESSG386</v>
          </cell>
          <cell r="G2669" t="str">
            <v>83/17 POLYESTER/ELASTANE</v>
          </cell>
        </row>
        <row r="2670">
          <cell r="F2670" t="str">
            <v>NESSG721</v>
          </cell>
          <cell r="G2670" t="str">
            <v xml:space="preserve"> 80/20 POLYAMIDE/ELASTANE</v>
          </cell>
        </row>
        <row r="2671">
          <cell r="F2671" t="str">
            <v>NESSG729</v>
          </cell>
          <cell r="G2671" t="str">
            <v xml:space="preserve"> 80/20 POLYAMIDE/ELASTANE</v>
          </cell>
        </row>
        <row r="2672">
          <cell r="F2672" t="str">
            <v>NESSG733</v>
          </cell>
          <cell r="G2672" t="str">
            <v>82/18 POLYESTER/ELASTANE</v>
          </cell>
        </row>
        <row r="2673">
          <cell r="F2673" t="str">
            <v>NESSG734</v>
          </cell>
          <cell r="G2673" t="str">
            <v>82/18 POLYESTER/ELASTANE</v>
          </cell>
        </row>
        <row r="2674">
          <cell r="F2674" t="str">
            <v>NESSG735</v>
          </cell>
          <cell r="G2674" t="str">
            <v>82/18 POLYESTER/ELASTANE</v>
          </cell>
        </row>
        <row r="2675">
          <cell r="F2675" t="str">
            <v>NESSG736</v>
          </cell>
          <cell r="G2675" t="str">
            <v>82/18 POLYESTER/ELASTANE</v>
          </cell>
        </row>
        <row r="2676">
          <cell r="F2676" t="str">
            <v>NESSG738</v>
          </cell>
          <cell r="G2676" t="str">
            <v xml:space="preserve"> 80/20 POLYAMIDE/ELASTANE</v>
          </cell>
        </row>
        <row r="2677">
          <cell r="F2677" t="str">
            <v>NESSG746</v>
          </cell>
          <cell r="G2677" t="str">
            <v>82/18 POLYESTER/ELASTANE</v>
          </cell>
        </row>
        <row r="2678">
          <cell r="F2678" t="str">
            <v>NESSG747</v>
          </cell>
          <cell r="G2678" t="str">
            <v>82/18 POLYESTER/ELASTANE</v>
          </cell>
        </row>
        <row r="2679">
          <cell r="F2679" t="str">
            <v>NESSG222</v>
          </cell>
          <cell r="G2679" t="str">
            <v>52/41/7 RECYCLED POLYESTER/RECYCLED NYLON/ELASTANE</v>
          </cell>
        </row>
        <row r="2680">
          <cell r="F2680" t="str">
            <v>NESSG224</v>
          </cell>
          <cell r="G2680" t="str">
            <v>52/41/7 RECYCLED POLYESTER/RECYCLED NYLON/ELASTANE</v>
          </cell>
        </row>
        <row r="2681">
          <cell r="F2681" t="str">
            <v>NESSG225</v>
          </cell>
          <cell r="G2681" t="str">
            <v>52/41/7 RECYCLED POLYESTER/RECYCLED NYLON/ELASTANE</v>
          </cell>
        </row>
        <row r="2682">
          <cell r="F2682" t="str">
            <v>NESSG724</v>
          </cell>
          <cell r="G2682" t="str">
            <v>52/41/7 RECYCLED POLYESTER/RECYCLED NYLON/ELASTANE</v>
          </cell>
        </row>
        <row r="2686">
          <cell r="F2686" t="str">
            <v>NESSG384</v>
          </cell>
          <cell r="G2686" t="str">
            <v>83/17 POLYESTER/ELASTANE</v>
          </cell>
        </row>
        <row r="2687">
          <cell r="F2687" t="str">
            <v>NESSG385</v>
          </cell>
          <cell r="G2687" t="str">
            <v>83/17 POLYESTER/ELASTANE</v>
          </cell>
        </row>
        <row r="2688">
          <cell r="F2688" t="str">
            <v>NESSG367</v>
          </cell>
          <cell r="G2688" t="str">
            <v>92/8 POLYESTER/ELASTANE</v>
          </cell>
        </row>
        <row r="2689">
          <cell r="F2689" t="str">
            <v>NESSG378</v>
          </cell>
          <cell r="G2689" t="str">
            <v>83/17 POLYESTER/ELASTANE</v>
          </cell>
        </row>
        <row r="2691">
          <cell r="F2691" t="str">
            <v/>
          </cell>
        </row>
        <row r="2693">
          <cell r="F2693" t="str">
            <v>NESSB764</v>
          </cell>
          <cell r="G2693" t="str">
            <v>80/20 POLYAMIDE/ELASTANE</v>
          </cell>
        </row>
        <row r="2694">
          <cell r="F2694" t="str">
            <v>NESSG730</v>
          </cell>
          <cell r="G2694" t="str">
            <v>80/20 POLYAMIDE/ELASTANE</v>
          </cell>
        </row>
        <row r="2695">
          <cell r="F2695" t="str">
            <v>NESSG738</v>
          </cell>
          <cell r="G2695" t="str">
            <v xml:space="preserve"> 80/20 POLYAMIDE/ELASTANE</v>
          </cell>
        </row>
        <row r="2696">
          <cell r="F2696" t="str">
            <v>NESSG381</v>
          </cell>
          <cell r="G2696" t="str">
            <v>83/17 POLYESTER/ELASTANE</v>
          </cell>
        </row>
        <row r="2697">
          <cell r="F2697" t="str">
            <v>NESSG720</v>
          </cell>
          <cell r="G2697" t="str">
            <v>80/20 POLYAMIDE/ELASTANE</v>
          </cell>
        </row>
        <row r="2698">
          <cell r="F2698" t="str">
            <v>NESSG723</v>
          </cell>
          <cell r="G2698" t="str">
            <v>80/20 POLYAMIDE/ELASTANE</v>
          </cell>
        </row>
        <row r="2699">
          <cell r="F2699" t="str">
            <v>NESSG729</v>
          </cell>
          <cell r="G2699" t="str">
            <v xml:space="preserve"> 80/20 POLYAMIDE/ELASTANE</v>
          </cell>
        </row>
        <row r="2700">
          <cell r="F2700" t="str">
            <v>NESSG238</v>
          </cell>
          <cell r="G2700" t="str">
            <v>83/17 POLYESTER/ELASTANE</v>
          </cell>
        </row>
        <row r="2701">
          <cell r="F2701" t="str">
            <v>NESSH725</v>
          </cell>
          <cell r="G2701" t="str">
            <v>82/18 POLYESTER/ELASTANE</v>
          </cell>
        </row>
        <row r="2702">
          <cell r="F2702" t="str">
            <v>NESSH728</v>
          </cell>
        </row>
        <row r="2703">
          <cell r="F2703" t="str">
            <v>NESSH740</v>
          </cell>
        </row>
        <row r="2704">
          <cell r="F2704" t="str">
            <v>NESSH759</v>
          </cell>
        </row>
        <row r="2705">
          <cell r="F2705" t="str">
            <v>NESSH772</v>
          </cell>
          <cell r="G2705" t="str">
            <v>82/18 POLYESTER/ELASTANE</v>
          </cell>
        </row>
        <row r="2706">
          <cell r="F2706" t="str">
            <v>NESSH773</v>
          </cell>
        </row>
        <row r="2707">
          <cell r="F2707" t="str">
            <v>NESSH248</v>
          </cell>
        </row>
        <row r="2708">
          <cell r="F2708" t="str">
            <v>NESSH724</v>
          </cell>
        </row>
        <row r="2709">
          <cell r="F2709" t="str">
            <v>NESSH775</v>
          </cell>
          <cell r="G2709" t="str">
            <v>82/18 POLYESTER/ELASTANE</v>
          </cell>
        </row>
        <row r="2710">
          <cell r="F2710" t="str">
            <v>NESSH731</v>
          </cell>
          <cell r="G2710" t="str">
            <v>80/20 POLYAMIDE/ELASTANE</v>
          </cell>
        </row>
        <row r="2711">
          <cell r="F2711" t="str">
            <v>NESSH221</v>
          </cell>
          <cell r="G2711" t="str">
            <v>52/41/7 RECYCLED POLYESTER/RECYCLED NYLON/ELASTANE</v>
          </cell>
        </row>
        <row r="2712">
          <cell r="F2712" t="str">
            <v>NESSH720</v>
          </cell>
          <cell r="G2712" t="str">
            <v>80/20 POLYAMIDE/ELASTANE</v>
          </cell>
        </row>
        <row r="2713">
          <cell r="F2713" t="str">
            <v>NESSH741</v>
          </cell>
          <cell r="G2713" t="str">
            <v>82/18 POLYESTER/ELASTANE</v>
          </cell>
        </row>
        <row r="2714">
          <cell r="F2714" t="str">
            <v>NESSH761</v>
          </cell>
          <cell r="G2714" t="str">
            <v>82/18 POLYESTER/ELASTANE</v>
          </cell>
        </row>
        <row r="2715">
          <cell r="F2715" t="str">
            <v>NESSH222</v>
          </cell>
          <cell r="G2715" t="str">
            <v>52/41/7 RECYCLED POLYESTER/RECYCLED NYLON/ELASTANE</v>
          </cell>
        </row>
        <row r="2716">
          <cell r="F2716" t="str">
            <v>NESSH259</v>
          </cell>
          <cell r="G2716" t="str">
            <v>92/8 POLY/SPANDEX</v>
          </cell>
        </row>
        <row r="2718">
          <cell r="F2718" t="str">
            <v>NESSF742</v>
          </cell>
          <cell r="G2718" t="str">
            <v>100% POLYESTER</v>
          </cell>
        </row>
        <row r="2719">
          <cell r="F2719" t="str">
            <v>NESSH313</v>
          </cell>
          <cell r="G2719" t="str">
            <v>92/8 POLYESTER/ELASTANE</v>
          </cell>
        </row>
        <row r="2720">
          <cell r="F2720" t="str">
            <v>NESSH723</v>
          </cell>
          <cell r="G2720" t="str">
            <v>82/18 POLYESTER/ELASTANE</v>
          </cell>
        </row>
        <row r="2721">
          <cell r="F2721" t="str">
            <v>NESSH745</v>
          </cell>
          <cell r="G2721" t="str">
            <v>82/18 POLYESTER/ELASTANE</v>
          </cell>
        </row>
        <row r="2722">
          <cell r="F2722" t="str">
            <v>NESSH734</v>
          </cell>
          <cell r="G2722" t="str">
            <v>82/18 POLYESTER/ELASTANE</v>
          </cell>
        </row>
        <row r="2723">
          <cell r="F2723" t="str">
            <v>NESSH746</v>
          </cell>
          <cell r="G2723" t="str">
            <v>82/18 POLYESTER/ELASTANE</v>
          </cell>
        </row>
        <row r="2724">
          <cell r="F2724" t="str">
            <v>NESSH753</v>
          </cell>
          <cell r="G2724" t="str">
            <v>96/4 POLY/SPANDEX</v>
          </cell>
        </row>
        <row r="2725">
          <cell r="F2725" t="str">
            <v>NESSH340</v>
          </cell>
          <cell r="G2725" t="str">
            <v>83/17 RECYCLED POLY/ELAS</v>
          </cell>
        </row>
        <row r="2726">
          <cell r="F2726" t="str">
            <v>NESSH341</v>
          </cell>
          <cell r="G2726" t="str">
            <v>92/8 POLYESTER/ELASTANE</v>
          </cell>
        </row>
        <row r="2727">
          <cell r="F2727" t="str">
            <v>NESSH736</v>
          </cell>
          <cell r="G2727" t="str">
            <v>82/18 POLYESTER/ELASTANE</v>
          </cell>
        </row>
        <row r="2728">
          <cell r="F2728" t="str">
            <v>NESSH774</v>
          </cell>
          <cell r="G2728" t="str">
            <v>82/18 POLYESTER/ELASTANE</v>
          </cell>
        </row>
        <row r="2730">
          <cell r="F2730" t="str">
            <v>NESSH264</v>
          </cell>
          <cell r="G2730" t="str">
            <v>83/17 RECYCLED POLY/ELAS</v>
          </cell>
        </row>
        <row r="2731">
          <cell r="F2731" t="str">
            <v>NESSH281</v>
          </cell>
          <cell r="G2731" t="str">
            <v>92/8 POLYESTER/ELASTANE</v>
          </cell>
        </row>
        <row r="2732">
          <cell r="F2732" t="str">
            <v>NESSH729</v>
          </cell>
          <cell r="G2732" t="str">
            <v>82/18 POLYESTER/ELASTANE</v>
          </cell>
        </row>
        <row r="2733">
          <cell r="F2733" t="str">
            <v>NESSH735</v>
          </cell>
          <cell r="G2733" t="str">
            <v>82/18 POLYESTER/ELASTANE</v>
          </cell>
        </row>
        <row r="2736">
          <cell r="F2736" t="str">
            <v>NESSH754</v>
          </cell>
          <cell r="G2736" t="str">
            <v>96/4 POLY/SPANDEX</v>
          </cell>
        </row>
        <row r="2737">
          <cell r="F2737" t="str">
            <v>NESSH260</v>
          </cell>
          <cell r="G2737" t="str">
            <v>92/8 POLY/SPANDEX</v>
          </cell>
        </row>
        <row r="2738">
          <cell r="F2738" t="str">
            <v>NESSH758</v>
          </cell>
          <cell r="G2738" t="str">
            <v>82/18 POLYESTER/ELASTANE</v>
          </cell>
        </row>
        <row r="2739">
          <cell r="F2739" t="str">
            <v>NESSH770</v>
          </cell>
          <cell r="G2739" t="str">
            <v>82/18 POLYESTER/ELASTANE</v>
          </cell>
        </row>
        <row r="2741">
          <cell r="F2741" t="str">
            <v>NESSH733</v>
          </cell>
          <cell r="G2741" t="str">
            <v>82/18 POLYESTER/ELASTANE</v>
          </cell>
        </row>
        <row r="2742">
          <cell r="F2742" t="str">
            <v>NESSH234</v>
          </cell>
          <cell r="G2742" t="str">
            <v>83/17 RECYCLED POLY/ELAS</v>
          </cell>
        </row>
        <row r="2743">
          <cell r="F2743" t="str">
            <v>NESSH751</v>
          </cell>
          <cell r="G2743" t="str">
            <v>80/20 POLYAMIDE/ELASTANE</v>
          </cell>
        </row>
        <row r="2744">
          <cell r="F2744" t="str">
            <v>NESSG277</v>
          </cell>
          <cell r="G2744" t="str">
            <v>82/18 POLYESTER/ELASTANE</v>
          </cell>
        </row>
        <row r="2745">
          <cell r="F2745" t="str">
            <v>NESSG278</v>
          </cell>
          <cell r="G2745" t="str">
            <v>82/18 POLYESTER/ELASTANE</v>
          </cell>
        </row>
        <row r="2746">
          <cell r="F2746" t="str">
            <v>NESSG280</v>
          </cell>
          <cell r="G2746" t="str">
            <v>82/18 POLYESTER/ELASTANE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"/>
      <sheetName val="pkl bổ sung 2  kiện"/>
      <sheetName val="he thong"/>
      <sheetName val="khai hàng"/>
      <sheetName val="mã sp"/>
    </sheetNames>
    <sheetDataSet>
      <sheetData sheetId="0"/>
      <sheetData sheetId="1"/>
      <sheetData sheetId="2">
        <row r="1">
          <cell r="A1">
            <v>800005507</v>
          </cell>
          <cell r="B1">
            <v>9710002117</v>
          </cell>
          <cell r="C1" t="str">
            <v>NESSB711</v>
          </cell>
          <cell r="D1" t="str">
            <v>655 DESERT PINK</v>
          </cell>
          <cell r="E1">
            <v>250</v>
          </cell>
          <cell r="F1" t="str">
            <v>PCS</v>
          </cell>
          <cell r="G1">
            <v>3.83</v>
          </cell>
        </row>
        <row r="2">
          <cell r="A2">
            <v>800005535</v>
          </cell>
          <cell r="B2">
            <v>9710002117</v>
          </cell>
          <cell r="C2" t="str">
            <v>NESSB711</v>
          </cell>
          <cell r="D2" t="str">
            <v>001 BLACK</v>
          </cell>
          <cell r="E2">
            <v>500</v>
          </cell>
          <cell r="F2" t="str">
            <v>PCS</v>
          </cell>
          <cell r="G2">
            <v>3.78</v>
          </cell>
        </row>
        <row r="3">
          <cell r="A3">
            <v>800005536</v>
          </cell>
          <cell r="B3">
            <v>9710002117</v>
          </cell>
          <cell r="C3" t="str">
            <v>NESSB711</v>
          </cell>
          <cell r="D3" t="str">
            <v>001 BLACK</v>
          </cell>
          <cell r="E3">
            <v>990</v>
          </cell>
          <cell r="F3" t="str">
            <v>PCS</v>
          </cell>
          <cell r="G3">
            <v>3.78</v>
          </cell>
        </row>
        <row r="4">
          <cell r="A4">
            <v>800005537</v>
          </cell>
          <cell r="B4">
            <v>9710002117</v>
          </cell>
          <cell r="C4" t="str">
            <v>NESSB711</v>
          </cell>
          <cell r="D4" t="str">
            <v>655 DESERT PINK</v>
          </cell>
          <cell r="E4">
            <v>500</v>
          </cell>
          <cell r="F4" t="str">
            <v>PCS</v>
          </cell>
          <cell r="G4">
            <v>3.83</v>
          </cell>
        </row>
        <row r="5">
          <cell r="A5">
            <v>800005540</v>
          </cell>
          <cell r="B5">
            <v>9710002117</v>
          </cell>
          <cell r="C5" t="str">
            <v>NESSB711</v>
          </cell>
          <cell r="D5" t="str">
            <v>001 BLACK</v>
          </cell>
          <cell r="E5">
            <v>500</v>
          </cell>
          <cell r="F5" t="str">
            <v>PCS</v>
          </cell>
          <cell r="G5">
            <v>3.78</v>
          </cell>
        </row>
        <row r="6">
          <cell r="A6">
            <v>800005541</v>
          </cell>
          <cell r="B6">
            <v>9710002117</v>
          </cell>
          <cell r="C6" t="str">
            <v>NESSB711</v>
          </cell>
          <cell r="D6" t="str">
            <v>655 DESERT PINK</v>
          </cell>
          <cell r="E6">
            <v>250</v>
          </cell>
          <cell r="F6" t="str">
            <v>PCS</v>
          </cell>
          <cell r="G6">
            <v>3.83</v>
          </cell>
        </row>
        <row r="7">
          <cell r="A7">
            <v>800005736</v>
          </cell>
          <cell r="B7">
            <v>9710002122</v>
          </cell>
          <cell r="C7" t="str">
            <v>NESSG729</v>
          </cell>
          <cell r="D7" t="str">
            <v>001 BLACK</v>
          </cell>
          <cell r="E7">
            <v>48</v>
          </cell>
          <cell r="F7" t="str">
            <v>PCS</v>
          </cell>
          <cell r="G7">
            <v>4.1500000000000004</v>
          </cell>
        </row>
        <row r="8">
          <cell r="A8">
            <v>800005737</v>
          </cell>
          <cell r="B8">
            <v>9710002122</v>
          </cell>
          <cell r="C8" t="str">
            <v>NESSG729</v>
          </cell>
          <cell r="D8" t="str">
            <v>001 BLACK</v>
          </cell>
          <cell r="E8">
            <v>24</v>
          </cell>
          <cell r="F8" t="str">
            <v>PCS</v>
          </cell>
          <cell r="G8">
            <v>4.2</v>
          </cell>
        </row>
        <row r="9">
          <cell r="A9">
            <v>800005744</v>
          </cell>
          <cell r="B9">
            <v>9710002118</v>
          </cell>
          <cell r="C9" t="str">
            <v>NESSG277</v>
          </cell>
          <cell r="D9" t="str">
            <v>001 BLACK</v>
          </cell>
          <cell r="E9">
            <v>100</v>
          </cell>
          <cell r="F9" t="str">
            <v>PCS</v>
          </cell>
          <cell r="G9">
            <v>3.42</v>
          </cell>
        </row>
        <row r="10">
          <cell r="A10">
            <v>800005745</v>
          </cell>
          <cell r="B10">
            <v>9710002119</v>
          </cell>
          <cell r="C10" t="str">
            <v>NESSG278</v>
          </cell>
          <cell r="D10" t="str">
            <v>001 BLACK</v>
          </cell>
          <cell r="E10">
            <v>200</v>
          </cell>
          <cell r="F10" t="str">
            <v>PCS</v>
          </cell>
          <cell r="G10">
            <v>3.72</v>
          </cell>
        </row>
        <row r="11">
          <cell r="A11">
            <v>800005754</v>
          </cell>
          <cell r="B11">
            <v>9710002117</v>
          </cell>
          <cell r="C11" t="str">
            <v>NESSB711</v>
          </cell>
          <cell r="D11" t="str">
            <v>385 ENERGY</v>
          </cell>
          <cell r="E11">
            <v>48</v>
          </cell>
          <cell r="F11" t="str">
            <v>PCS</v>
          </cell>
          <cell r="G11">
            <v>3.81</v>
          </cell>
        </row>
        <row r="12">
          <cell r="A12">
            <v>800005755</v>
          </cell>
          <cell r="B12">
            <v>9710002117</v>
          </cell>
          <cell r="C12" t="str">
            <v>NESSB711</v>
          </cell>
          <cell r="D12" t="str">
            <v>001 BLACK</v>
          </cell>
          <cell r="E12">
            <v>120</v>
          </cell>
          <cell r="F12" t="str">
            <v>PCS</v>
          </cell>
          <cell r="G12">
            <v>3.75</v>
          </cell>
        </row>
        <row r="13">
          <cell r="A13">
            <v>800005756</v>
          </cell>
          <cell r="B13">
            <v>9710002117</v>
          </cell>
          <cell r="C13" t="str">
            <v>NESSB711</v>
          </cell>
          <cell r="D13" t="str">
            <v>385 ENERGY</v>
          </cell>
          <cell r="E13">
            <v>120</v>
          </cell>
          <cell r="F13" t="str">
            <v>PCS</v>
          </cell>
          <cell r="G13">
            <v>3.8</v>
          </cell>
        </row>
        <row r="14">
          <cell r="A14">
            <v>800005757</v>
          </cell>
          <cell r="B14">
            <v>9710002117</v>
          </cell>
          <cell r="C14" t="str">
            <v>NESSB711</v>
          </cell>
          <cell r="D14" t="str">
            <v>655 DESERT PINK</v>
          </cell>
          <cell r="E14">
            <v>120</v>
          </cell>
          <cell r="F14" t="str">
            <v>PCS</v>
          </cell>
          <cell r="G14">
            <v>3.8</v>
          </cell>
        </row>
        <row r="15">
          <cell r="A15">
            <v>800005758</v>
          </cell>
          <cell r="B15">
            <v>9710002123</v>
          </cell>
          <cell r="C15" t="str">
            <v>NESSG730</v>
          </cell>
          <cell r="D15" t="str">
            <v>001 BLACK</v>
          </cell>
          <cell r="E15">
            <v>96</v>
          </cell>
          <cell r="F15" t="str">
            <v>SET</v>
          </cell>
          <cell r="G15">
            <v>5.18</v>
          </cell>
        </row>
        <row r="16">
          <cell r="A16">
            <v>800005759</v>
          </cell>
          <cell r="B16">
            <v>9710002123</v>
          </cell>
          <cell r="C16" t="str">
            <v>NESSG730</v>
          </cell>
          <cell r="D16" t="str">
            <v>655 DESERT PINK</v>
          </cell>
          <cell r="E16">
            <v>96</v>
          </cell>
          <cell r="F16" t="str">
            <v>SET</v>
          </cell>
          <cell r="G16">
            <v>5.42</v>
          </cell>
        </row>
        <row r="17">
          <cell r="A17">
            <v>800005760</v>
          </cell>
          <cell r="B17">
            <v>9710002124</v>
          </cell>
          <cell r="C17" t="str">
            <v>NESSG758</v>
          </cell>
          <cell r="D17" t="str">
            <v>385 ENERGY</v>
          </cell>
          <cell r="E17">
            <v>72</v>
          </cell>
          <cell r="F17" t="str">
            <v>PCS</v>
          </cell>
          <cell r="G17">
            <v>4.5</v>
          </cell>
        </row>
        <row r="18">
          <cell r="A18">
            <v>800005761</v>
          </cell>
          <cell r="B18">
            <v>9710002124</v>
          </cell>
          <cell r="C18" t="str">
            <v>NESSG758</v>
          </cell>
          <cell r="D18" t="str">
            <v>655 DESERT PINK</v>
          </cell>
          <cell r="E18">
            <v>72</v>
          </cell>
          <cell r="F18" t="str">
            <v>PCS</v>
          </cell>
          <cell r="G18">
            <v>4.5</v>
          </cell>
        </row>
        <row r="19">
          <cell r="A19">
            <v>800005762</v>
          </cell>
          <cell r="B19">
            <v>9710002118</v>
          </cell>
          <cell r="C19" t="str">
            <v>NESSG277</v>
          </cell>
          <cell r="D19" t="str">
            <v>001 BLACK</v>
          </cell>
          <cell r="E19">
            <v>216</v>
          </cell>
          <cell r="F19" t="str">
            <v>PCS</v>
          </cell>
          <cell r="G19">
            <v>3.33</v>
          </cell>
        </row>
        <row r="20">
          <cell r="A20">
            <v>800005763</v>
          </cell>
          <cell r="B20">
            <v>9710002120</v>
          </cell>
          <cell r="C20" t="str">
            <v>NESSG280</v>
          </cell>
          <cell r="D20" t="str">
            <v>001 BLACK</v>
          </cell>
          <cell r="E20">
            <v>120</v>
          </cell>
          <cell r="F20" t="str">
            <v>PCS</v>
          </cell>
          <cell r="G20">
            <v>5.17</v>
          </cell>
        </row>
        <row r="21">
          <cell r="A21">
            <v>800005764</v>
          </cell>
          <cell r="B21">
            <v>9710002121</v>
          </cell>
          <cell r="C21" t="str">
            <v>NESSG410</v>
          </cell>
          <cell r="D21" t="str">
            <v>440 MIDNIGHT NAVY</v>
          </cell>
          <cell r="E21">
            <v>72</v>
          </cell>
          <cell r="F21" t="str">
            <v>PCS</v>
          </cell>
          <cell r="G21">
            <v>7.87</v>
          </cell>
        </row>
        <row r="22">
          <cell r="A22">
            <v>800005765</v>
          </cell>
          <cell r="B22">
            <v>9710002121</v>
          </cell>
          <cell r="C22" t="str">
            <v>NESSG410</v>
          </cell>
          <cell r="D22" t="str">
            <v>655 DESERT PINK</v>
          </cell>
          <cell r="E22">
            <v>72</v>
          </cell>
          <cell r="F22" t="str">
            <v>PCS</v>
          </cell>
          <cell r="G22">
            <v>7.88</v>
          </cell>
        </row>
        <row r="23">
          <cell r="A23">
            <v>800005766</v>
          </cell>
          <cell r="B23">
            <v>9710002118</v>
          </cell>
          <cell r="C23" t="str">
            <v>NESSG277</v>
          </cell>
          <cell r="D23" t="str">
            <v>001 BLACK</v>
          </cell>
          <cell r="E23">
            <v>72</v>
          </cell>
          <cell r="F23" t="str">
            <v>PCS</v>
          </cell>
          <cell r="G23">
            <v>3.33</v>
          </cell>
        </row>
        <row r="24">
          <cell r="A24">
            <v>800005767</v>
          </cell>
          <cell r="B24">
            <v>9710002119</v>
          </cell>
          <cell r="C24" t="str">
            <v>NESSG278</v>
          </cell>
          <cell r="D24" t="str">
            <v>001 BLACK</v>
          </cell>
          <cell r="E24">
            <v>72</v>
          </cell>
          <cell r="F24" t="str">
            <v>PCS</v>
          </cell>
          <cell r="G24">
            <v>3.63</v>
          </cell>
        </row>
        <row r="25">
          <cell r="A25">
            <v>800005768</v>
          </cell>
          <cell r="B25">
            <v>9710002118</v>
          </cell>
          <cell r="C25" t="str">
            <v>NESSG277</v>
          </cell>
          <cell r="D25" t="str">
            <v>001 BLACK</v>
          </cell>
          <cell r="E25">
            <v>48</v>
          </cell>
          <cell r="F25" t="str">
            <v>PCS</v>
          </cell>
          <cell r="G25">
            <v>3.34</v>
          </cell>
        </row>
        <row r="26">
          <cell r="A26">
            <v>800005769</v>
          </cell>
          <cell r="B26">
            <v>9710002117</v>
          </cell>
          <cell r="C26" t="str">
            <v>NESSB711</v>
          </cell>
          <cell r="D26" t="str">
            <v>001 BLACK</v>
          </cell>
          <cell r="E26">
            <v>120</v>
          </cell>
          <cell r="F26" t="str">
            <v>PCS</v>
          </cell>
          <cell r="G26">
            <v>3.75</v>
          </cell>
        </row>
        <row r="27">
          <cell r="A27">
            <v>800005770</v>
          </cell>
          <cell r="B27">
            <v>9710002119</v>
          </cell>
          <cell r="C27" t="str">
            <v>NESSG278</v>
          </cell>
          <cell r="D27" t="str">
            <v>001 BLACK</v>
          </cell>
          <cell r="E27">
            <v>120</v>
          </cell>
          <cell r="F27" t="str">
            <v>PCS</v>
          </cell>
          <cell r="G27">
            <v>3.63</v>
          </cell>
        </row>
        <row r="28">
          <cell r="A28">
            <v>800005771</v>
          </cell>
          <cell r="B28">
            <v>9710002120</v>
          </cell>
          <cell r="C28" t="str">
            <v>NESSG280</v>
          </cell>
          <cell r="D28" t="str">
            <v>001 BLACK</v>
          </cell>
          <cell r="E28">
            <v>168</v>
          </cell>
          <cell r="F28" t="str">
            <v>PCS</v>
          </cell>
          <cell r="G28">
            <v>5.17</v>
          </cell>
        </row>
        <row r="29">
          <cell r="A29">
            <v>800005772</v>
          </cell>
          <cell r="B29">
            <v>9710002121</v>
          </cell>
          <cell r="C29" t="str">
            <v>NESSG410</v>
          </cell>
          <cell r="D29" t="str">
            <v>440 MIDNIGHT NAVY</v>
          </cell>
          <cell r="E29">
            <v>120</v>
          </cell>
          <cell r="F29" t="str">
            <v>PCS</v>
          </cell>
          <cell r="G29">
            <v>7.87</v>
          </cell>
        </row>
        <row r="30">
          <cell r="A30">
            <v>800005773</v>
          </cell>
          <cell r="B30">
            <v>9710002121</v>
          </cell>
          <cell r="C30" t="str">
            <v>NESSG410</v>
          </cell>
          <cell r="D30" t="str">
            <v>655 DESERT PINK</v>
          </cell>
          <cell r="E30">
            <v>120</v>
          </cell>
          <cell r="F30" t="str">
            <v>PCS</v>
          </cell>
          <cell r="G30">
            <v>7.88</v>
          </cell>
        </row>
        <row r="31">
          <cell r="A31">
            <v>800005775</v>
          </cell>
          <cell r="B31">
            <v>9710002124</v>
          </cell>
          <cell r="C31" t="str">
            <v>NESSG758</v>
          </cell>
          <cell r="D31" t="str">
            <v>385 ENERGY</v>
          </cell>
          <cell r="E31">
            <v>120</v>
          </cell>
          <cell r="F31" t="str">
            <v>PCS</v>
          </cell>
          <cell r="G31">
            <v>4.5</v>
          </cell>
        </row>
        <row r="32">
          <cell r="A32">
            <v>800005776</v>
          </cell>
          <cell r="B32">
            <v>9710002124</v>
          </cell>
          <cell r="C32" t="str">
            <v>NESSG758</v>
          </cell>
          <cell r="D32" t="str">
            <v>655 DESERT PINK</v>
          </cell>
          <cell r="E32">
            <v>120</v>
          </cell>
          <cell r="F32" t="str">
            <v>PCS</v>
          </cell>
          <cell r="G32">
            <v>4.5</v>
          </cell>
        </row>
        <row r="33">
          <cell r="A33">
            <v>800005777</v>
          </cell>
          <cell r="B33">
            <v>9710002117</v>
          </cell>
          <cell r="C33" t="str">
            <v>NESSB711</v>
          </cell>
          <cell r="D33" t="str">
            <v>385 ENERGY</v>
          </cell>
          <cell r="E33">
            <v>24</v>
          </cell>
          <cell r="F33" t="str">
            <v>PCS</v>
          </cell>
          <cell r="G33">
            <v>3.86</v>
          </cell>
        </row>
        <row r="34">
          <cell r="A34">
            <v>800005778</v>
          </cell>
          <cell r="B34">
            <v>9710002117</v>
          </cell>
          <cell r="C34" t="str">
            <v>NESSB711</v>
          </cell>
          <cell r="D34" t="str">
            <v>655 DESERT PINK</v>
          </cell>
          <cell r="E34">
            <v>24</v>
          </cell>
          <cell r="F34" t="str">
            <v>PCS</v>
          </cell>
          <cell r="G34">
            <v>3.86</v>
          </cell>
        </row>
        <row r="35">
          <cell r="A35">
            <v>800005779</v>
          </cell>
          <cell r="B35">
            <v>9710002124</v>
          </cell>
          <cell r="C35" t="str">
            <v>NESSG758</v>
          </cell>
          <cell r="D35" t="str">
            <v>385 ENERGY</v>
          </cell>
          <cell r="E35">
            <v>24</v>
          </cell>
          <cell r="F35" t="str">
            <v>PCS</v>
          </cell>
          <cell r="G35">
            <v>4.5599999999999996</v>
          </cell>
        </row>
        <row r="36">
          <cell r="A36">
            <v>800005780</v>
          </cell>
          <cell r="B36">
            <v>9710002124</v>
          </cell>
          <cell r="C36" t="str">
            <v>NESSG758</v>
          </cell>
          <cell r="D36" t="str">
            <v>655 DESERT PINK</v>
          </cell>
          <cell r="E36">
            <v>24</v>
          </cell>
          <cell r="F36" t="str">
            <v>PCS</v>
          </cell>
          <cell r="G36">
            <v>4.5599999999999996</v>
          </cell>
        </row>
        <row r="37">
          <cell r="A37">
            <v>800005781</v>
          </cell>
          <cell r="B37">
            <v>9710002118</v>
          </cell>
          <cell r="C37" t="str">
            <v>NESSG277</v>
          </cell>
          <cell r="D37" t="str">
            <v>001 BLACK</v>
          </cell>
          <cell r="E37">
            <v>120</v>
          </cell>
          <cell r="F37" t="str">
            <v>PCS</v>
          </cell>
          <cell r="G37">
            <v>3.39</v>
          </cell>
        </row>
        <row r="38">
          <cell r="A38">
            <v>800005782</v>
          </cell>
          <cell r="B38">
            <v>9710002119</v>
          </cell>
          <cell r="C38" t="str">
            <v>NESSG278</v>
          </cell>
          <cell r="D38" t="str">
            <v>001 BLACK</v>
          </cell>
          <cell r="E38">
            <v>120</v>
          </cell>
          <cell r="F38" t="str">
            <v>PCS</v>
          </cell>
          <cell r="G38">
            <v>3.69</v>
          </cell>
        </row>
        <row r="39">
          <cell r="A39">
            <v>800005783</v>
          </cell>
          <cell r="B39">
            <v>9710002120</v>
          </cell>
          <cell r="C39" t="str">
            <v>NESSG280</v>
          </cell>
          <cell r="D39" t="str">
            <v>001 BLACK</v>
          </cell>
          <cell r="E39">
            <v>120</v>
          </cell>
          <cell r="F39" t="str">
            <v>PCS</v>
          </cell>
          <cell r="G39">
            <v>5.23</v>
          </cell>
        </row>
        <row r="40">
          <cell r="A40">
            <v>800005784</v>
          </cell>
          <cell r="B40">
            <v>9710002121</v>
          </cell>
          <cell r="C40" t="str">
            <v>NESSG410</v>
          </cell>
          <cell r="D40" t="str">
            <v>440 MIDNIGHT NAVY</v>
          </cell>
          <cell r="E40">
            <v>24</v>
          </cell>
          <cell r="F40" t="str">
            <v>PCS</v>
          </cell>
          <cell r="G40">
            <v>7.93</v>
          </cell>
        </row>
        <row r="41">
          <cell r="A41">
            <v>800005785</v>
          </cell>
          <cell r="B41">
            <v>9710002121</v>
          </cell>
          <cell r="C41" t="str">
            <v>NESSG410</v>
          </cell>
          <cell r="D41" t="str">
            <v>655 DESERT PINK</v>
          </cell>
          <cell r="E41">
            <v>24</v>
          </cell>
          <cell r="F41" t="str">
            <v>PCS</v>
          </cell>
          <cell r="G41">
            <v>7.94</v>
          </cell>
        </row>
        <row r="42">
          <cell r="A42">
            <v>800005786</v>
          </cell>
          <cell r="B42">
            <v>9710002117</v>
          </cell>
          <cell r="C42" t="str">
            <v>NESSB711</v>
          </cell>
          <cell r="D42" t="str">
            <v>001 BLACK</v>
          </cell>
          <cell r="E42">
            <v>72</v>
          </cell>
          <cell r="F42" t="str">
            <v>PCS</v>
          </cell>
          <cell r="G42">
            <v>3.76</v>
          </cell>
        </row>
        <row r="43">
          <cell r="A43">
            <v>800005787</v>
          </cell>
          <cell r="B43">
            <v>9710002117</v>
          </cell>
          <cell r="C43" t="str">
            <v>NESSB711</v>
          </cell>
          <cell r="D43" t="str">
            <v>655 DESERT PINK</v>
          </cell>
          <cell r="E43">
            <v>24</v>
          </cell>
          <cell r="F43" t="str">
            <v>PCS</v>
          </cell>
          <cell r="G43">
            <v>3.81</v>
          </cell>
        </row>
        <row r="45">
          <cell r="E45">
            <v>6266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ngatang"/>
      <sheetName val="packinglist"/>
      <sheetName val="INVOICE 11"/>
      <sheetName val="SOLID PLAJ849"/>
      <sheetName val="IRREGULAR SS PLAJ849"/>
      <sheetName val="AJ868"/>
      <sheetName val="PLS AJ868"/>
      <sheetName val="EQ336"/>
      <sheetName val="PLS EQ336"/>
      <sheetName val="EV136"/>
      <sheetName val="PLS EV136"/>
      <sheetName val="SOLID PLGU81"/>
      <sheetName val="IRREGULAR SS PLGU81"/>
      <sheetName val="SOLID PLHT19"/>
      <sheetName val="IRREGULAR SS PLHT19"/>
      <sheetName val="SOLID PLHT7"/>
      <sheetName val="IRREGULAR SS PLHT7"/>
      <sheetName val="SOLID PLSZ469"/>
      <sheetName val="IRREGULAR SS PLSZ469"/>
      <sheetName val="SOLID PLTO241"/>
      <sheetName val="IRREGULAR SS PLTO241"/>
      <sheetName val="XL90"/>
      <sheetName val="PLS XL90"/>
      <sheetName val="FK215"/>
      <sheetName val="PLS FK215"/>
      <sheetName val="Sheet6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C983-7D6A-4BEB-9B6F-3540DCFDEA46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2FA9-CB26-4162-851A-0821816E5E39}">
  <sheetPr>
    <tabColor theme="0" tint="-0.14999847407452621"/>
    <pageSetUpPr fitToPage="1"/>
  </sheetPr>
  <dimension ref="A1:S67"/>
  <sheetViews>
    <sheetView view="pageBreakPreview" topLeftCell="A10" zoomScale="69" zoomScaleNormal="100" zoomScaleSheetLayoutView="69" workbookViewId="0">
      <selection activeCell="D42" sqref="D41:D42"/>
    </sheetView>
  </sheetViews>
  <sheetFormatPr defaultColWidth="9" defaultRowHeight="12" customHeight="1"/>
  <cols>
    <col min="1" max="1" width="27.375" style="8" customWidth="1"/>
    <col min="2" max="2" width="23.375" style="8" customWidth="1"/>
    <col min="3" max="3" width="31.25" style="72" customWidth="1"/>
    <col min="4" max="4" width="21.25" style="73" customWidth="1"/>
    <col min="5" max="5" width="30.25" style="84" customWidth="1"/>
    <col min="6" max="6" width="20.25" style="85" customWidth="1"/>
    <col min="7" max="7" width="0.125" style="8" hidden="1" customWidth="1"/>
    <col min="8" max="8" width="10.125" style="8" bestFit="1" customWidth="1"/>
    <col min="9" max="14" width="9" style="8"/>
    <col min="15" max="15" width="7.375" style="8" customWidth="1"/>
    <col min="16" max="16" width="11" style="8" customWidth="1"/>
    <col min="17" max="17" width="9.375" style="8" customWidth="1"/>
    <col min="18" max="16384" width="9" style="8"/>
  </cols>
  <sheetData>
    <row r="1" spans="1:7" ht="12" customHeight="1" thickBot="1">
      <c r="A1" s="1"/>
      <c r="B1" s="2"/>
      <c r="C1" s="3"/>
      <c r="D1" s="4"/>
      <c r="E1" s="5"/>
      <c r="F1" s="6"/>
      <c r="G1" s="7"/>
    </row>
    <row r="2" spans="1:7" s="10" customFormat="1" ht="24.75" customHeight="1" thickBot="1">
      <c r="A2" s="239" t="s">
        <v>0</v>
      </c>
      <c r="B2" s="240"/>
      <c r="C2" s="240"/>
      <c r="D2" s="240"/>
      <c r="E2" s="240"/>
      <c r="F2" s="241"/>
      <c r="G2" s="9"/>
    </row>
    <row r="3" spans="1:7" s="14" customFormat="1" ht="20.25" customHeight="1">
      <c r="A3" s="242" t="str">
        <f>'[2]commercial '!A2:C2</f>
        <v>Seller :</v>
      </c>
      <c r="B3" s="243"/>
      <c r="C3" s="244"/>
      <c r="D3" s="11" t="str">
        <f>'[2]commercial '!D2</f>
        <v>Invoice No. and date :</v>
      </c>
      <c r="E3" s="92" t="e">
        <f>+#REF!</f>
        <v>#REF!</v>
      </c>
      <c r="F3" s="12"/>
      <c r="G3" s="13"/>
    </row>
    <row r="4" spans="1:7" s="14" customFormat="1" ht="20.25" customHeight="1">
      <c r="A4" s="86" t="s">
        <v>34</v>
      </c>
      <c r="B4" s="31"/>
      <c r="C4" s="87"/>
      <c r="D4" s="245">
        <v>44455</v>
      </c>
      <c r="E4" s="246"/>
      <c r="F4" s="15"/>
      <c r="G4" s="13"/>
    </row>
    <row r="5" spans="1:7" s="14" customFormat="1" ht="20.25" customHeight="1">
      <c r="A5" s="90" t="s">
        <v>35</v>
      </c>
      <c r="B5" s="31"/>
      <c r="C5" s="87"/>
      <c r="D5" s="16" t="s">
        <v>1</v>
      </c>
      <c r="E5" s="17"/>
      <c r="F5" s="18"/>
      <c r="G5" s="13"/>
    </row>
    <row r="6" spans="1:7" s="14" customFormat="1" ht="20.25" customHeight="1">
      <c r="A6" s="91" t="s">
        <v>36</v>
      </c>
      <c r="B6" s="88"/>
      <c r="C6" s="89"/>
      <c r="D6" s="237"/>
      <c r="E6" s="237"/>
      <c r="F6" s="238"/>
      <c r="G6" s="13"/>
    </row>
    <row r="7" spans="1:7" s="14" customFormat="1" ht="20.25" customHeight="1">
      <c r="A7" s="250" t="s">
        <v>2</v>
      </c>
      <c r="B7" s="251"/>
      <c r="C7" s="252"/>
      <c r="D7" s="253" t="s">
        <v>3</v>
      </c>
      <c r="E7" s="251"/>
      <c r="F7" s="254"/>
      <c r="G7" s="13"/>
    </row>
    <row r="8" spans="1:7" s="14" customFormat="1" ht="20.25" customHeight="1">
      <c r="A8" s="93" t="s">
        <v>37</v>
      </c>
      <c r="B8" s="19"/>
      <c r="C8" s="20"/>
      <c r="D8" s="255" t="s">
        <v>40</v>
      </c>
      <c r="E8" s="256"/>
      <c r="F8" s="257"/>
      <c r="G8" s="13"/>
    </row>
    <row r="9" spans="1:7" s="14" customFormat="1" ht="20.25" customHeight="1">
      <c r="A9" s="94" t="s">
        <v>39</v>
      </c>
      <c r="B9" s="19"/>
      <c r="C9" s="20"/>
      <c r="D9" s="258" t="s">
        <v>41</v>
      </c>
      <c r="E9" s="259"/>
      <c r="F9" s="260"/>
      <c r="G9" s="13"/>
    </row>
    <row r="10" spans="1:7" s="14" customFormat="1" ht="20.25" customHeight="1">
      <c r="A10" s="95" t="s">
        <v>38</v>
      </c>
      <c r="B10" s="21"/>
      <c r="C10" s="22"/>
      <c r="D10" s="261" t="s">
        <v>42</v>
      </c>
      <c r="E10" s="262"/>
      <c r="F10" s="263"/>
      <c r="G10" s="13"/>
    </row>
    <row r="11" spans="1:7" s="14" customFormat="1" ht="20.25" customHeight="1">
      <c r="A11" s="250" t="s">
        <v>4</v>
      </c>
      <c r="B11" s="251"/>
      <c r="C11" s="252"/>
      <c r="D11" s="16" t="s">
        <v>5</v>
      </c>
      <c r="E11" s="23"/>
      <c r="F11" s="18"/>
      <c r="G11" s="13"/>
    </row>
    <row r="12" spans="1:7" s="14" customFormat="1" ht="20.25" customHeight="1">
      <c r="A12" s="93" t="s">
        <v>37</v>
      </c>
      <c r="B12" s="19"/>
      <c r="C12" s="20"/>
      <c r="D12" s="264" t="s">
        <v>65</v>
      </c>
      <c r="E12" s="265"/>
      <c r="F12" s="266"/>
      <c r="G12" s="13"/>
    </row>
    <row r="13" spans="1:7" s="14" customFormat="1" ht="20.25" customHeight="1">
      <c r="A13" s="94" t="s">
        <v>39</v>
      </c>
      <c r="B13" s="19"/>
      <c r="C13" s="20"/>
      <c r="D13" s="247" t="s">
        <v>66</v>
      </c>
      <c r="E13" s="248"/>
      <c r="F13" s="249"/>
      <c r="G13" s="13"/>
    </row>
    <row r="14" spans="1:7" s="14" customFormat="1" ht="20.25" customHeight="1">
      <c r="A14" s="95" t="s">
        <v>38</v>
      </c>
      <c r="B14" s="19"/>
      <c r="C14" s="20"/>
      <c r="D14" s="96" t="s">
        <v>67</v>
      </c>
      <c r="E14" s="97"/>
      <c r="F14" s="98"/>
      <c r="G14" s="13"/>
    </row>
    <row r="15" spans="1:7" s="14" customFormat="1" ht="20.25" customHeight="1">
      <c r="A15" s="95"/>
      <c r="B15" s="21"/>
      <c r="C15" s="22"/>
      <c r="D15" s="96" t="s">
        <v>52</v>
      </c>
      <c r="E15" s="97"/>
      <c r="F15" s="98"/>
      <c r="G15" s="13"/>
    </row>
    <row r="16" spans="1:7" s="31" customFormat="1" ht="20.25" customHeight="1">
      <c r="A16" s="24" t="s">
        <v>6</v>
      </c>
      <c r="B16" s="25" t="s">
        <v>54</v>
      </c>
      <c r="C16" s="26"/>
      <c r="D16" s="27" t="s">
        <v>7</v>
      </c>
      <c r="E16" s="28"/>
      <c r="F16" s="29"/>
      <c r="G16" s="30"/>
    </row>
    <row r="17" spans="1:7" s="31" customFormat="1" ht="20.25" customHeight="1">
      <c r="A17" s="32" t="str">
        <f>'[2]commercial '!A15</f>
        <v>VESSEL NO:</v>
      </c>
      <c r="B17" s="269" t="s">
        <v>55</v>
      </c>
      <c r="C17" s="270"/>
      <c r="D17" s="27" t="s">
        <v>8</v>
      </c>
      <c r="E17" s="28" t="s">
        <v>52</v>
      </c>
      <c r="F17" s="29"/>
      <c r="G17" s="30"/>
    </row>
    <row r="18" spans="1:7" s="31" customFormat="1" ht="20.25" customHeight="1">
      <c r="A18" s="33" t="str">
        <f>'[2]commercial '!A16</f>
        <v xml:space="preserve">FCR NO: </v>
      </c>
      <c r="B18" s="34"/>
      <c r="C18" s="35"/>
      <c r="D18" s="271"/>
      <c r="E18" s="272"/>
      <c r="F18" s="273"/>
      <c r="G18" s="30"/>
    </row>
    <row r="19" spans="1:7" s="31" customFormat="1" ht="20.25" customHeight="1">
      <c r="A19" s="32" t="s">
        <v>9</v>
      </c>
      <c r="B19" s="274"/>
      <c r="C19" s="275"/>
      <c r="D19" s="31" t="s">
        <v>10</v>
      </c>
      <c r="E19" s="36"/>
      <c r="F19" s="37"/>
      <c r="G19" s="30"/>
    </row>
    <row r="20" spans="1:7" s="31" customFormat="1" ht="20.25" customHeight="1">
      <c r="A20" s="33" t="s">
        <v>11</v>
      </c>
      <c r="B20" s="38" t="s">
        <v>56</v>
      </c>
      <c r="C20" s="39"/>
      <c r="D20" s="271" t="s">
        <v>53</v>
      </c>
      <c r="E20" s="272"/>
      <c r="F20" s="273"/>
      <c r="G20" s="30"/>
    </row>
    <row r="21" spans="1:7" s="31" customFormat="1" ht="20.25" customHeight="1">
      <c r="A21" s="40" t="s">
        <v>12</v>
      </c>
      <c r="B21" s="237" t="s">
        <v>13</v>
      </c>
      <c r="C21" s="237"/>
      <c r="D21" s="41" t="s">
        <v>14</v>
      </c>
      <c r="E21" s="42" t="s">
        <v>15</v>
      </c>
      <c r="F21" s="43" t="s">
        <v>16</v>
      </c>
      <c r="G21" s="30"/>
    </row>
    <row r="22" spans="1:7" s="31" customFormat="1" ht="20.25" customHeight="1">
      <c r="A22" s="40"/>
      <c r="B22" s="41" t="s">
        <v>107</v>
      </c>
      <c r="C22" s="41" t="s">
        <v>57</v>
      </c>
      <c r="D22" s="41"/>
      <c r="E22" s="42"/>
      <c r="F22" s="43"/>
      <c r="G22" s="30"/>
    </row>
    <row r="23" spans="1:7" s="104" customFormat="1" ht="20.25" customHeight="1">
      <c r="A23" s="99"/>
      <c r="B23" s="100" t="s">
        <v>58</v>
      </c>
      <c r="C23" s="100" t="s">
        <v>106</v>
      </c>
      <c r="D23" s="100">
        <v>820</v>
      </c>
      <c r="E23" s="101">
        <v>146.57</v>
      </c>
      <c r="F23" s="102">
        <v>0.99658171399500006</v>
      </c>
      <c r="G23" s="103"/>
    </row>
    <row r="24" spans="1:7" s="104" customFormat="1" ht="19.5" customHeight="1">
      <c r="A24" s="105" t="s">
        <v>43</v>
      </c>
      <c r="B24" s="100" t="s">
        <v>58</v>
      </c>
      <c r="C24" s="100" t="s">
        <v>106</v>
      </c>
      <c r="D24" s="100">
        <v>725</v>
      </c>
      <c r="E24" s="101">
        <v>127.36</v>
      </c>
      <c r="F24" s="102">
        <v>0.87476223082500026</v>
      </c>
      <c r="G24" s="103"/>
    </row>
    <row r="25" spans="1:7" s="104" customFormat="1" ht="19.5" customHeight="1">
      <c r="A25" s="105" t="s">
        <v>44</v>
      </c>
      <c r="B25" s="100" t="s">
        <v>60</v>
      </c>
      <c r="C25" s="100" t="s">
        <v>106</v>
      </c>
      <c r="D25" s="100">
        <v>110</v>
      </c>
      <c r="E25" s="101">
        <v>16.399999999999999</v>
      </c>
      <c r="F25" s="102">
        <v>0.21218716782200001</v>
      </c>
      <c r="G25" s="103"/>
    </row>
    <row r="26" spans="1:7" s="104" customFormat="1" ht="19.5" customHeight="1">
      <c r="A26" s="105" t="s">
        <v>45</v>
      </c>
      <c r="B26" s="100" t="s">
        <v>61</v>
      </c>
      <c r="C26" s="100" t="s">
        <v>106</v>
      </c>
      <c r="D26" s="100">
        <v>671</v>
      </c>
      <c r="E26" s="101">
        <v>169.47999999999996</v>
      </c>
      <c r="F26" s="102">
        <v>1.6796574383820002</v>
      </c>
      <c r="G26" s="103"/>
    </row>
    <row r="27" spans="1:7" s="104" customFormat="1" ht="19.5" customHeight="1">
      <c r="A27" s="105" t="s">
        <v>46</v>
      </c>
      <c r="B27" s="100" t="s">
        <v>61</v>
      </c>
      <c r="C27" s="100" t="s">
        <v>106</v>
      </c>
      <c r="D27" s="100">
        <v>85</v>
      </c>
      <c r="E27" s="101">
        <v>21.72</v>
      </c>
      <c r="F27" s="102">
        <v>0.21628665445100001</v>
      </c>
      <c r="G27" s="103"/>
    </row>
    <row r="28" spans="1:7" s="104" customFormat="1" ht="18.75" customHeight="1">
      <c r="A28" s="105" t="s">
        <v>47</v>
      </c>
      <c r="B28" s="100" t="s">
        <v>61</v>
      </c>
      <c r="C28" s="100" t="s">
        <v>106</v>
      </c>
      <c r="D28" s="100">
        <v>671</v>
      </c>
      <c r="E28" s="101">
        <v>169.63599999999997</v>
      </c>
      <c r="F28" s="102">
        <v>1.6796574383820002</v>
      </c>
      <c r="G28" s="103"/>
    </row>
    <row r="29" spans="1:7" s="14" customFormat="1" ht="21" customHeight="1">
      <c r="A29" s="105" t="s">
        <v>48</v>
      </c>
      <c r="B29" s="106" t="s">
        <v>62</v>
      </c>
      <c r="C29" s="100" t="s">
        <v>106</v>
      </c>
      <c r="D29" s="106">
        <v>671</v>
      </c>
      <c r="E29" s="107">
        <v>166.3</v>
      </c>
      <c r="F29" s="102">
        <v>1.7788132089420001</v>
      </c>
      <c r="G29" s="108"/>
    </row>
    <row r="30" spans="1:7" s="14" customFormat="1" ht="18.75" customHeight="1">
      <c r="A30" s="109" t="s">
        <v>49</v>
      </c>
      <c r="B30" s="100" t="s">
        <v>62</v>
      </c>
      <c r="C30" s="100" t="s">
        <v>106</v>
      </c>
      <c r="D30" s="100">
        <v>671</v>
      </c>
      <c r="E30" s="101">
        <v>164.64</v>
      </c>
      <c r="F30" s="102">
        <v>1.7788132089420001</v>
      </c>
      <c r="G30" s="108"/>
    </row>
    <row r="31" spans="1:7" s="104" customFormat="1" ht="19.5" customHeight="1">
      <c r="A31" s="109" t="s">
        <v>50</v>
      </c>
      <c r="B31" s="100" t="s">
        <v>63</v>
      </c>
      <c r="C31" s="100" t="s">
        <v>106</v>
      </c>
      <c r="D31" s="100">
        <v>80</v>
      </c>
      <c r="E31" s="101">
        <v>13.879999999999999</v>
      </c>
      <c r="F31" s="110">
        <v>0.168330066177</v>
      </c>
      <c r="G31" s="103"/>
    </row>
    <row r="32" spans="1:7" s="104" customFormat="1" ht="19.5" customHeight="1">
      <c r="A32" s="105" t="s">
        <v>51</v>
      </c>
      <c r="B32" s="100" t="s">
        <v>64</v>
      </c>
      <c r="C32" s="100" t="s">
        <v>106</v>
      </c>
      <c r="D32" s="100">
        <v>769</v>
      </c>
      <c r="E32" s="101">
        <v>95.895833333333343</v>
      </c>
      <c r="F32" s="110">
        <v>1.4839255715759996</v>
      </c>
      <c r="G32" s="103"/>
    </row>
    <row r="33" spans="1:7" s="104" customFormat="1" ht="19.5" customHeight="1">
      <c r="A33" s="99"/>
      <c r="B33" s="100" t="s">
        <v>64</v>
      </c>
      <c r="C33" s="100" t="s">
        <v>106</v>
      </c>
      <c r="D33" s="100">
        <v>766</v>
      </c>
      <c r="E33" s="101">
        <v>92.961379928315409</v>
      </c>
      <c r="F33" s="110">
        <v>1.4839255715759996</v>
      </c>
      <c r="G33" s="103"/>
    </row>
    <row r="34" spans="1:7" s="104" customFormat="1" ht="19.5" customHeight="1">
      <c r="A34" s="111"/>
      <c r="B34" s="112"/>
      <c r="C34" s="14"/>
      <c r="D34" s="14"/>
      <c r="E34" s="14"/>
      <c r="F34" s="113"/>
      <c r="G34" s="103"/>
    </row>
    <row r="35" spans="1:7" s="44" customFormat="1" ht="19.5" customHeight="1">
      <c r="A35" s="45"/>
      <c r="B35" s="46"/>
      <c r="C35" s="31"/>
      <c r="D35" s="47">
        <f>SUM(D23:D34)</f>
        <v>6039</v>
      </c>
      <c r="E35" s="132">
        <f>SUM(E23:E34)</f>
        <v>1184.8432132616485</v>
      </c>
      <c r="F35" s="132">
        <f>SUM(F23:F34)</f>
        <v>12.352940271070002</v>
      </c>
      <c r="G35" s="48"/>
    </row>
    <row r="36" spans="1:7" s="31" customFormat="1" ht="27" customHeight="1">
      <c r="A36" s="267" t="s">
        <v>17</v>
      </c>
      <c r="B36" s="268"/>
      <c r="C36" s="268"/>
      <c r="D36" s="268"/>
      <c r="E36" s="268"/>
      <c r="F36" s="49"/>
      <c r="G36" s="49"/>
    </row>
    <row r="37" spans="1:7" s="31" customFormat="1" ht="20.25" customHeight="1">
      <c r="A37" s="50" t="s">
        <v>18</v>
      </c>
      <c r="B37" s="51"/>
      <c r="C37" s="51"/>
      <c r="D37" s="52"/>
      <c r="E37" s="53"/>
      <c r="F37" s="49"/>
      <c r="G37" s="54"/>
    </row>
    <row r="38" spans="1:7" s="31" customFormat="1" ht="20.25" customHeight="1">
      <c r="A38" s="50" t="s">
        <v>19</v>
      </c>
      <c r="B38" s="51"/>
      <c r="C38" s="51"/>
      <c r="D38" s="52"/>
      <c r="E38" s="55"/>
      <c r="F38" s="49"/>
      <c r="G38" s="54"/>
    </row>
    <row r="39" spans="1:7" s="31" customFormat="1" ht="20.25" customHeight="1">
      <c r="A39" s="50" t="s">
        <v>20</v>
      </c>
      <c r="B39" s="51"/>
      <c r="C39" s="51"/>
      <c r="D39" s="56"/>
      <c r="E39" s="51"/>
      <c r="F39" s="57"/>
      <c r="G39" s="54"/>
    </row>
    <row r="40" spans="1:7" s="31" customFormat="1" ht="20.25" customHeight="1">
      <c r="A40" s="50" t="s">
        <v>21</v>
      </c>
      <c r="B40" s="51"/>
      <c r="C40" s="51"/>
      <c r="D40" s="56"/>
      <c r="E40" s="51"/>
      <c r="F40" s="57"/>
      <c r="G40" s="54"/>
    </row>
    <row r="41" spans="1:7" s="31" customFormat="1" ht="20.25" customHeight="1">
      <c r="A41" s="50" t="s">
        <v>22</v>
      </c>
      <c r="B41" s="51"/>
      <c r="C41" s="51"/>
      <c r="D41" s="56"/>
      <c r="E41" s="51"/>
      <c r="F41" s="57"/>
      <c r="G41" s="54"/>
    </row>
    <row r="42" spans="1:7" s="31" customFormat="1" ht="20.25" customHeight="1">
      <c r="A42" s="50" t="s">
        <v>23</v>
      </c>
      <c r="B42" s="51"/>
      <c r="C42" s="51"/>
      <c r="D42" s="56"/>
      <c r="E42" s="51"/>
      <c r="F42" s="57"/>
      <c r="G42" s="54"/>
    </row>
    <row r="43" spans="1:7" s="31" customFormat="1" ht="20.25" customHeight="1">
      <c r="A43" s="50" t="s">
        <v>24</v>
      </c>
      <c r="B43" s="51"/>
      <c r="C43" s="51"/>
      <c r="D43" s="56"/>
      <c r="E43" s="51"/>
      <c r="F43" s="57"/>
      <c r="G43" s="54"/>
    </row>
    <row r="44" spans="1:7" ht="22.5" customHeight="1">
      <c r="A44" s="58"/>
      <c r="B44" s="59"/>
      <c r="C44" s="60"/>
      <c r="D44" s="41" t="s">
        <v>25</v>
      </c>
      <c r="E44" s="61"/>
      <c r="F44" s="62"/>
      <c r="G44" s="63"/>
    </row>
    <row r="45" spans="1:7" ht="15" customHeight="1">
      <c r="A45" s="58"/>
      <c r="B45" s="64"/>
      <c r="C45" s="60"/>
      <c r="D45" s="8"/>
      <c r="E45" s="61"/>
      <c r="F45" s="62"/>
      <c r="G45" s="63"/>
    </row>
    <row r="46" spans="1:7" ht="3" customHeight="1">
      <c r="A46" s="58"/>
      <c r="B46" s="59"/>
      <c r="C46" s="60"/>
      <c r="D46" s="60"/>
      <c r="E46" s="61"/>
      <c r="F46" s="62"/>
      <c r="G46" s="63"/>
    </row>
    <row r="47" spans="1:7" ht="12" customHeight="1">
      <c r="A47" s="58"/>
      <c r="B47" s="59"/>
      <c r="C47" s="60"/>
      <c r="D47" s="60"/>
      <c r="E47" s="61"/>
      <c r="F47" s="62"/>
      <c r="G47" s="63"/>
    </row>
    <row r="48" spans="1:7" ht="12" customHeight="1">
      <c r="A48" s="58"/>
      <c r="B48" s="64"/>
      <c r="C48" s="65"/>
      <c r="D48" s="66"/>
      <c r="E48" s="67"/>
      <c r="F48" s="68"/>
      <c r="G48" s="63"/>
    </row>
    <row r="49" spans="1:19" ht="12" customHeight="1">
      <c r="A49" s="58"/>
      <c r="B49" s="64"/>
      <c r="C49" s="65"/>
      <c r="D49" s="66"/>
      <c r="E49" s="69"/>
      <c r="F49" s="70"/>
      <c r="G49" s="63"/>
    </row>
    <row r="50" spans="1:19" ht="12" customHeight="1">
      <c r="A50" s="58"/>
      <c r="B50" s="64"/>
      <c r="C50" s="65"/>
      <c r="D50" s="71"/>
      <c r="E50" s="69"/>
      <c r="F50" s="70"/>
      <c r="G50" s="63"/>
    </row>
    <row r="51" spans="1:19" ht="12" customHeight="1">
      <c r="A51" s="58"/>
      <c r="E51" s="74"/>
      <c r="F51" s="75"/>
      <c r="G51" s="63"/>
    </row>
    <row r="52" spans="1:19" ht="12" customHeight="1">
      <c r="A52" s="58"/>
      <c r="E52" s="74"/>
      <c r="F52" s="75"/>
      <c r="G52" s="63"/>
    </row>
    <row r="53" spans="1:19" ht="12" customHeight="1">
      <c r="A53" s="58"/>
      <c r="E53" s="74"/>
      <c r="F53" s="75"/>
      <c r="G53" s="63"/>
    </row>
    <row r="54" spans="1:19" ht="12" customHeight="1">
      <c r="A54" s="58"/>
      <c r="E54" s="74"/>
      <c r="F54" s="75"/>
      <c r="G54" s="63"/>
    </row>
    <row r="55" spans="1:19" ht="12" customHeight="1">
      <c r="A55" s="58"/>
      <c r="E55" s="74"/>
      <c r="F55" s="75"/>
      <c r="G55" s="63"/>
    </row>
    <row r="56" spans="1:19" ht="12" customHeight="1">
      <c r="A56" s="58"/>
      <c r="E56" s="74"/>
      <c r="F56" s="75"/>
      <c r="G56" s="63"/>
    </row>
    <row r="57" spans="1:19" ht="12" customHeight="1">
      <c r="A57" s="58"/>
      <c r="E57" s="74"/>
      <c r="F57" s="75"/>
      <c r="G57" s="63"/>
    </row>
    <row r="58" spans="1:19" ht="12" customHeight="1">
      <c r="A58" s="58"/>
      <c r="E58" s="74"/>
      <c r="F58" s="75"/>
      <c r="G58" s="63"/>
    </row>
    <row r="59" spans="1:19" ht="12" hidden="1" customHeight="1">
      <c r="A59" s="58"/>
      <c r="E59" s="74"/>
      <c r="F59" s="75"/>
      <c r="G59" s="63"/>
    </row>
    <row r="60" spans="1:19" ht="12" hidden="1" customHeight="1">
      <c r="A60" s="58"/>
      <c r="E60" s="74"/>
      <c r="F60" s="75"/>
      <c r="G60" s="63"/>
    </row>
    <row r="61" spans="1:19" ht="12" hidden="1" customHeight="1">
      <c r="A61" s="58"/>
      <c r="E61" s="74"/>
      <c r="F61" s="75"/>
      <c r="G61" s="63"/>
    </row>
    <row r="62" spans="1:19" ht="12" hidden="1" customHeight="1">
      <c r="A62" s="58"/>
      <c r="E62" s="74"/>
      <c r="F62" s="75"/>
      <c r="G62" s="63"/>
    </row>
    <row r="63" spans="1:19" ht="12" hidden="1" customHeight="1">
      <c r="A63" s="58"/>
      <c r="E63" s="74"/>
      <c r="F63" s="75"/>
      <c r="G63" s="63"/>
    </row>
    <row r="64" spans="1:19" ht="12" hidden="1" customHeight="1">
      <c r="A64" s="58"/>
      <c r="E64" s="74"/>
      <c r="F64" s="75"/>
      <c r="G64" s="63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</row>
    <row r="65" spans="1:19" ht="12" hidden="1" customHeight="1">
      <c r="A65" s="58"/>
      <c r="E65" s="74"/>
      <c r="F65" s="75"/>
      <c r="G65" s="63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</row>
    <row r="66" spans="1:19" ht="12" customHeight="1">
      <c r="A66" s="58"/>
      <c r="E66" s="74"/>
      <c r="F66" s="75"/>
      <c r="G66" s="63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</row>
    <row r="67" spans="1:19" ht="12" customHeight="1" thickBot="1">
      <c r="A67" s="77"/>
      <c r="B67" s="78"/>
      <c r="C67" s="79"/>
      <c r="D67" s="80"/>
      <c r="E67" s="81"/>
      <c r="F67" s="82"/>
      <c r="G67" s="83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</row>
  </sheetData>
  <mergeCells count="18">
    <mergeCell ref="A36:E36"/>
    <mergeCell ref="B17:C17"/>
    <mergeCell ref="D18:F18"/>
    <mergeCell ref="B19:C19"/>
    <mergeCell ref="D20:F20"/>
    <mergeCell ref="B21:C21"/>
    <mergeCell ref="D6:F6"/>
    <mergeCell ref="A2:F2"/>
    <mergeCell ref="A3:C3"/>
    <mergeCell ref="D4:E4"/>
    <mergeCell ref="D13:F13"/>
    <mergeCell ref="A7:C7"/>
    <mergeCell ref="D7:F7"/>
    <mergeCell ref="D8:F8"/>
    <mergeCell ref="D9:F9"/>
    <mergeCell ref="D10:F10"/>
    <mergeCell ref="A11:C11"/>
    <mergeCell ref="D12:F12"/>
  </mergeCells>
  <pageMargins left="0.31496062992125984" right="0.19685039370078741" top="0.47244094488188981" bottom="0.23622047244094491" header="0.15748031496062992" footer="0.19685039370078741"/>
  <pageSetup paperSize="9" scale="59" fitToHeight="0" orientation="portrait" r:id="rId1"/>
  <headerFooter alignWithMargins="0"/>
  <colBreaks count="1" manualBreakCount="1">
    <brk id="6" max="7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3946-6076-48F8-B410-1D2429A45355}">
  <sheetPr>
    <pageSetUpPr fitToPage="1"/>
  </sheetPr>
  <dimension ref="A1:AB299"/>
  <sheetViews>
    <sheetView view="pageBreakPreview" topLeftCell="A66" zoomScaleNormal="110" zoomScaleSheetLayoutView="100" workbookViewId="0">
      <selection activeCell="L80" sqref="L80"/>
    </sheetView>
  </sheetViews>
  <sheetFormatPr defaultRowHeight="12.75"/>
  <cols>
    <col min="1" max="1" width="8.75" style="114" customWidth="1"/>
    <col min="2" max="2" width="11.5" style="114" customWidth="1"/>
    <col min="3" max="3" width="19.5" style="114" customWidth="1"/>
    <col min="4" max="4" width="9.375" style="114" hidden="1" customWidth="1"/>
    <col min="5" max="5" width="11.75" style="114" customWidth="1"/>
    <col min="6" max="6" width="8.25" style="114" customWidth="1"/>
    <col min="7" max="7" width="12.375" style="114" customWidth="1"/>
    <col min="8" max="8" width="6.625" style="114" customWidth="1"/>
    <col min="9" max="9" width="6.125" style="114" customWidth="1"/>
    <col min="10" max="10" width="6.875" style="114" customWidth="1"/>
    <col min="11" max="11" width="8.875" style="114" customWidth="1"/>
    <col min="12" max="12" width="7.75" style="114" customWidth="1"/>
    <col min="13" max="13" width="12.75" style="114" customWidth="1"/>
    <col min="14" max="255" width="9" style="114"/>
    <col min="256" max="256" width="6.25" style="114" customWidth="1"/>
    <col min="257" max="257" width="2.875" style="114" customWidth="1"/>
    <col min="258" max="258" width="10.5" style="114" customWidth="1"/>
    <col min="259" max="259" width="11.75" style="114" customWidth="1"/>
    <col min="260" max="260" width="9.125" style="114" customWidth="1"/>
    <col min="261" max="261" width="8.625" style="114" customWidth="1"/>
    <col min="262" max="262" width="6.875" style="114" customWidth="1"/>
    <col min="263" max="263" width="11.75" style="114" customWidth="1"/>
    <col min="264" max="265" width="8.875" style="114" customWidth="1"/>
    <col min="266" max="266" width="10.625" style="114" customWidth="1"/>
    <col min="267" max="267" width="4.125" style="114" customWidth="1"/>
    <col min="268" max="268" width="6.625" style="114" customWidth="1"/>
    <col min="269" max="269" width="10.5" style="114" customWidth="1"/>
    <col min="270" max="511" width="9" style="114"/>
    <col min="512" max="512" width="6.25" style="114" customWidth="1"/>
    <col min="513" max="513" width="2.875" style="114" customWidth="1"/>
    <col min="514" max="514" width="10.5" style="114" customWidth="1"/>
    <col min="515" max="515" width="11.75" style="114" customWidth="1"/>
    <col min="516" max="516" width="9.125" style="114" customWidth="1"/>
    <col min="517" max="517" width="8.625" style="114" customWidth="1"/>
    <col min="518" max="518" width="6.875" style="114" customWidth="1"/>
    <col min="519" max="519" width="11.75" style="114" customWidth="1"/>
    <col min="520" max="521" width="8.875" style="114" customWidth="1"/>
    <col min="522" max="522" width="10.625" style="114" customWidth="1"/>
    <col min="523" max="523" width="4.125" style="114" customWidth="1"/>
    <col min="524" max="524" width="6.625" style="114" customWidth="1"/>
    <col min="525" max="525" width="10.5" style="114" customWidth="1"/>
    <col min="526" max="767" width="9" style="114"/>
    <col min="768" max="768" width="6.25" style="114" customWidth="1"/>
    <col min="769" max="769" width="2.875" style="114" customWidth="1"/>
    <col min="770" max="770" width="10.5" style="114" customWidth="1"/>
    <col min="771" max="771" width="11.75" style="114" customWidth="1"/>
    <col min="772" max="772" width="9.125" style="114" customWidth="1"/>
    <col min="773" max="773" width="8.625" style="114" customWidth="1"/>
    <col min="774" max="774" width="6.875" style="114" customWidth="1"/>
    <col min="775" max="775" width="11.75" style="114" customWidth="1"/>
    <col min="776" max="777" width="8.875" style="114" customWidth="1"/>
    <col min="778" max="778" width="10.625" style="114" customWidth="1"/>
    <col min="779" max="779" width="4.125" style="114" customWidth="1"/>
    <col min="780" max="780" width="6.625" style="114" customWidth="1"/>
    <col min="781" max="781" width="10.5" style="114" customWidth="1"/>
    <col min="782" max="1023" width="9" style="114"/>
    <col min="1024" max="1024" width="6.25" style="114" customWidth="1"/>
    <col min="1025" max="1025" width="2.875" style="114" customWidth="1"/>
    <col min="1026" max="1026" width="10.5" style="114" customWidth="1"/>
    <col min="1027" max="1027" width="11.75" style="114" customWidth="1"/>
    <col min="1028" max="1028" width="9.125" style="114" customWidth="1"/>
    <col min="1029" max="1029" width="8.625" style="114" customWidth="1"/>
    <col min="1030" max="1030" width="6.875" style="114" customWidth="1"/>
    <col min="1031" max="1031" width="11.75" style="114" customWidth="1"/>
    <col min="1032" max="1033" width="8.875" style="114" customWidth="1"/>
    <col min="1034" max="1034" width="10.625" style="114" customWidth="1"/>
    <col min="1035" max="1035" width="4.125" style="114" customWidth="1"/>
    <col min="1036" max="1036" width="6.625" style="114" customWidth="1"/>
    <col min="1037" max="1037" width="10.5" style="114" customWidth="1"/>
    <col min="1038" max="1279" width="9" style="114"/>
    <col min="1280" max="1280" width="6.25" style="114" customWidth="1"/>
    <col min="1281" max="1281" width="2.875" style="114" customWidth="1"/>
    <col min="1282" max="1282" width="10.5" style="114" customWidth="1"/>
    <col min="1283" max="1283" width="11.75" style="114" customWidth="1"/>
    <col min="1284" max="1284" width="9.125" style="114" customWidth="1"/>
    <col min="1285" max="1285" width="8.625" style="114" customWidth="1"/>
    <col min="1286" max="1286" width="6.875" style="114" customWidth="1"/>
    <col min="1287" max="1287" width="11.75" style="114" customWidth="1"/>
    <col min="1288" max="1289" width="8.875" style="114" customWidth="1"/>
    <col min="1290" max="1290" width="10.625" style="114" customWidth="1"/>
    <col min="1291" max="1291" width="4.125" style="114" customWidth="1"/>
    <col min="1292" max="1292" width="6.625" style="114" customWidth="1"/>
    <col min="1293" max="1293" width="10.5" style="114" customWidth="1"/>
    <col min="1294" max="1535" width="9" style="114"/>
    <col min="1536" max="1536" width="6.25" style="114" customWidth="1"/>
    <col min="1537" max="1537" width="2.875" style="114" customWidth="1"/>
    <col min="1538" max="1538" width="10.5" style="114" customWidth="1"/>
    <col min="1539" max="1539" width="11.75" style="114" customWidth="1"/>
    <col min="1540" max="1540" width="9.125" style="114" customWidth="1"/>
    <col min="1541" max="1541" width="8.625" style="114" customWidth="1"/>
    <col min="1542" max="1542" width="6.875" style="114" customWidth="1"/>
    <col min="1543" max="1543" width="11.75" style="114" customWidth="1"/>
    <col min="1544" max="1545" width="8.875" style="114" customWidth="1"/>
    <col min="1546" max="1546" width="10.625" style="114" customWidth="1"/>
    <col min="1547" max="1547" width="4.125" style="114" customWidth="1"/>
    <col min="1548" max="1548" width="6.625" style="114" customWidth="1"/>
    <col min="1549" max="1549" width="10.5" style="114" customWidth="1"/>
    <col min="1550" max="1791" width="9" style="114"/>
    <col min="1792" max="1792" width="6.25" style="114" customWidth="1"/>
    <col min="1793" max="1793" width="2.875" style="114" customWidth="1"/>
    <col min="1794" max="1794" width="10.5" style="114" customWidth="1"/>
    <col min="1795" max="1795" width="11.75" style="114" customWidth="1"/>
    <col min="1796" max="1796" width="9.125" style="114" customWidth="1"/>
    <col min="1797" max="1797" width="8.625" style="114" customWidth="1"/>
    <col min="1798" max="1798" width="6.875" style="114" customWidth="1"/>
    <col min="1799" max="1799" width="11.75" style="114" customWidth="1"/>
    <col min="1800" max="1801" width="8.875" style="114" customWidth="1"/>
    <col min="1802" max="1802" width="10.625" style="114" customWidth="1"/>
    <col min="1803" max="1803" width="4.125" style="114" customWidth="1"/>
    <col min="1804" max="1804" width="6.625" style="114" customWidth="1"/>
    <col min="1805" max="1805" width="10.5" style="114" customWidth="1"/>
    <col min="1806" max="2047" width="9" style="114"/>
    <col min="2048" max="2048" width="6.25" style="114" customWidth="1"/>
    <col min="2049" max="2049" width="2.875" style="114" customWidth="1"/>
    <col min="2050" max="2050" width="10.5" style="114" customWidth="1"/>
    <col min="2051" max="2051" width="11.75" style="114" customWidth="1"/>
    <col min="2052" max="2052" width="9.125" style="114" customWidth="1"/>
    <col min="2053" max="2053" width="8.625" style="114" customWidth="1"/>
    <col min="2054" max="2054" width="6.875" style="114" customWidth="1"/>
    <col min="2055" max="2055" width="11.75" style="114" customWidth="1"/>
    <col min="2056" max="2057" width="8.875" style="114" customWidth="1"/>
    <col min="2058" max="2058" width="10.625" style="114" customWidth="1"/>
    <col min="2059" max="2059" width="4.125" style="114" customWidth="1"/>
    <col min="2060" max="2060" width="6.625" style="114" customWidth="1"/>
    <col min="2061" max="2061" width="10.5" style="114" customWidth="1"/>
    <col min="2062" max="2303" width="9" style="114"/>
    <col min="2304" max="2304" width="6.25" style="114" customWidth="1"/>
    <col min="2305" max="2305" width="2.875" style="114" customWidth="1"/>
    <col min="2306" max="2306" width="10.5" style="114" customWidth="1"/>
    <col min="2307" max="2307" width="11.75" style="114" customWidth="1"/>
    <col min="2308" max="2308" width="9.125" style="114" customWidth="1"/>
    <col min="2309" max="2309" width="8.625" style="114" customWidth="1"/>
    <col min="2310" max="2310" width="6.875" style="114" customWidth="1"/>
    <col min="2311" max="2311" width="11.75" style="114" customWidth="1"/>
    <col min="2312" max="2313" width="8.875" style="114" customWidth="1"/>
    <col min="2314" max="2314" width="10.625" style="114" customWidth="1"/>
    <col min="2315" max="2315" width="4.125" style="114" customWidth="1"/>
    <col min="2316" max="2316" width="6.625" style="114" customWidth="1"/>
    <col min="2317" max="2317" width="10.5" style="114" customWidth="1"/>
    <col min="2318" max="2559" width="9" style="114"/>
    <col min="2560" max="2560" width="6.25" style="114" customWidth="1"/>
    <col min="2561" max="2561" width="2.875" style="114" customWidth="1"/>
    <col min="2562" max="2562" width="10.5" style="114" customWidth="1"/>
    <col min="2563" max="2563" width="11.75" style="114" customWidth="1"/>
    <col min="2564" max="2564" width="9.125" style="114" customWidth="1"/>
    <col min="2565" max="2565" width="8.625" style="114" customWidth="1"/>
    <col min="2566" max="2566" width="6.875" style="114" customWidth="1"/>
    <col min="2567" max="2567" width="11.75" style="114" customWidth="1"/>
    <col min="2568" max="2569" width="8.875" style="114" customWidth="1"/>
    <col min="2570" max="2570" width="10.625" style="114" customWidth="1"/>
    <col min="2571" max="2571" width="4.125" style="114" customWidth="1"/>
    <col min="2572" max="2572" width="6.625" style="114" customWidth="1"/>
    <col min="2573" max="2573" width="10.5" style="114" customWidth="1"/>
    <col min="2574" max="2815" width="9" style="114"/>
    <col min="2816" max="2816" width="6.25" style="114" customWidth="1"/>
    <col min="2817" max="2817" width="2.875" style="114" customWidth="1"/>
    <col min="2818" max="2818" width="10.5" style="114" customWidth="1"/>
    <col min="2819" max="2819" width="11.75" style="114" customWidth="1"/>
    <col min="2820" max="2820" width="9.125" style="114" customWidth="1"/>
    <col min="2821" max="2821" width="8.625" style="114" customWidth="1"/>
    <col min="2822" max="2822" width="6.875" style="114" customWidth="1"/>
    <col min="2823" max="2823" width="11.75" style="114" customWidth="1"/>
    <col min="2824" max="2825" width="8.875" style="114" customWidth="1"/>
    <col min="2826" max="2826" width="10.625" style="114" customWidth="1"/>
    <col min="2827" max="2827" width="4.125" style="114" customWidth="1"/>
    <col min="2828" max="2828" width="6.625" style="114" customWidth="1"/>
    <col min="2829" max="2829" width="10.5" style="114" customWidth="1"/>
    <col min="2830" max="3071" width="9" style="114"/>
    <col min="3072" max="3072" width="6.25" style="114" customWidth="1"/>
    <col min="3073" max="3073" width="2.875" style="114" customWidth="1"/>
    <col min="3074" max="3074" width="10.5" style="114" customWidth="1"/>
    <col min="3075" max="3075" width="11.75" style="114" customWidth="1"/>
    <col min="3076" max="3076" width="9.125" style="114" customWidth="1"/>
    <col min="3077" max="3077" width="8.625" style="114" customWidth="1"/>
    <col min="3078" max="3078" width="6.875" style="114" customWidth="1"/>
    <col min="3079" max="3079" width="11.75" style="114" customWidth="1"/>
    <col min="3080" max="3081" width="8.875" style="114" customWidth="1"/>
    <col min="3082" max="3082" width="10.625" style="114" customWidth="1"/>
    <col min="3083" max="3083" width="4.125" style="114" customWidth="1"/>
    <col min="3084" max="3084" width="6.625" style="114" customWidth="1"/>
    <col min="3085" max="3085" width="10.5" style="114" customWidth="1"/>
    <col min="3086" max="3327" width="9" style="114"/>
    <col min="3328" max="3328" width="6.25" style="114" customWidth="1"/>
    <col min="3329" max="3329" width="2.875" style="114" customWidth="1"/>
    <col min="3330" max="3330" width="10.5" style="114" customWidth="1"/>
    <col min="3331" max="3331" width="11.75" style="114" customWidth="1"/>
    <col min="3332" max="3332" width="9.125" style="114" customWidth="1"/>
    <col min="3333" max="3333" width="8.625" style="114" customWidth="1"/>
    <col min="3334" max="3334" width="6.875" style="114" customWidth="1"/>
    <col min="3335" max="3335" width="11.75" style="114" customWidth="1"/>
    <col min="3336" max="3337" width="8.875" style="114" customWidth="1"/>
    <col min="3338" max="3338" width="10.625" style="114" customWidth="1"/>
    <col min="3339" max="3339" width="4.125" style="114" customWidth="1"/>
    <col min="3340" max="3340" width="6.625" style="114" customWidth="1"/>
    <col min="3341" max="3341" width="10.5" style="114" customWidth="1"/>
    <col min="3342" max="3583" width="9" style="114"/>
    <col min="3584" max="3584" width="6.25" style="114" customWidth="1"/>
    <col min="3585" max="3585" width="2.875" style="114" customWidth="1"/>
    <col min="3586" max="3586" width="10.5" style="114" customWidth="1"/>
    <col min="3587" max="3587" width="11.75" style="114" customWidth="1"/>
    <col min="3588" max="3588" width="9.125" style="114" customWidth="1"/>
    <col min="3589" max="3589" width="8.625" style="114" customWidth="1"/>
    <col min="3590" max="3590" width="6.875" style="114" customWidth="1"/>
    <col min="3591" max="3591" width="11.75" style="114" customWidth="1"/>
    <col min="3592" max="3593" width="8.875" style="114" customWidth="1"/>
    <col min="3594" max="3594" width="10.625" style="114" customWidth="1"/>
    <col min="3595" max="3595" width="4.125" style="114" customWidth="1"/>
    <col min="3596" max="3596" width="6.625" style="114" customWidth="1"/>
    <col min="3597" max="3597" width="10.5" style="114" customWidth="1"/>
    <col min="3598" max="3839" width="9" style="114"/>
    <col min="3840" max="3840" width="6.25" style="114" customWidth="1"/>
    <col min="3841" max="3841" width="2.875" style="114" customWidth="1"/>
    <col min="3842" max="3842" width="10.5" style="114" customWidth="1"/>
    <col min="3843" max="3843" width="11.75" style="114" customWidth="1"/>
    <col min="3844" max="3844" width="9.125" style="114" customWidth="1"/>
    <col min="3845" max="3845" width="8.625" style="114" customWidth="1"/>
    <col min="3846" max="3846" width="6.875" style="114" customWidth="1"/>
    <col min="3847" max="3847" width="11.75" style="114" customWidth="1"/>
    <col min="3848" max="3849" width="8.875" style="114" customWidth="1"/>
    <col min="3850" max="3850" width="10.625" style="114" customWidth="1"/>
    <col min="3851" max="3851" width="4.125" style="114" customWidth="1"/>
    <col min="3852" max="3852" width="6.625" style="114" customWidth="1"/>
    <col min="3853" max="3853" width="10.5" style="114" customWidth="1"/>
    <col min="3854" max="4095" width="9" style="114"/>
    <col min="4096" max="4096" width="6.25" style="114" customWidth="1"/>
    <col min="4097" max="4097" width="2.875" style="114" customWidth="1"/>
    <col min="4098" max="4098" width="10.5" style="114" customWidth="1"/>
    <col min="4099" max="4099" width="11.75" style="114" customWidth="1"/>
    <col min="4100" max="4100" width="9.125" style="114" customWidth="1"/>
    <col min="4101" max="4101" width="8.625" style="114" customWidth="1"/>
    <col min="4102" max="4102" width="6.875" style="114" customWidth="1"/>
    <col min="4103" max="4103" width="11.75" style="114" customWidth="1"/>
    <col min="4104" max="4105" width="8.875" style="114" customWidth="1"/>
    <col min="4106" max="4106" width="10.625" style="114" customWidth="1"/>
    <col min="4107" max="4107" width="4.125" style="114" customWidth="1"/>
    <col min="4108" max="4108" width="6.625" style="114" customWidth="1"/>
    <col min="4109" max="4109" width="10.5" style="114" customWidth="1"/>
    <col min="4110" max="4351" width="9" style="114"/>
    <col min="4352" max="4352" width="6.25" style="114" customWidth="1"/>
    <col min="4353" max="4353" width="2.875" style="114" customWidth="1"/>
    <col min="4354" max="4354" width="10.5" style="114" customWidth="1"/>
    <col min="4355" max="4355" width="11.75" style="114" customWidth="1"/>
    <col min="4356" max="4356" width="9.125" style="114" customWidth="1"/>
    <col min="4357" max="4357" width="8.625" style="114" customWidth="1"/>
    <col min="4358" max="4358" width="6.875" style="114" customWidth="1"/>
    <col min="4359" max="4359" width="11.75" style="114" customWidth="1"/>
    <col min="4360" max="4361" width="8.875" style="114" customWidth="1"/>
    <col min="4362" max="4362" width="10.625" style="114" customWidth="1"/>
    <col min="4363" max="4363" width="4.125" style="114" customWidth="1"/>
    <col min="4364" max="4364" width="6.625" style="114" customWidth="1"/>
    <col min="4365" max="4365" width="10.5" style="114" customWidth="1"/>
    <col min="4366" max="4607" width="9" style="114"/>
    <col min="4608" max="4608" width="6.25" style="114" customWidth="1"/>
    <col min="4609" max="4609" width="2.875" style="114" customWidth="1"/>
    <col min="4610" max="4610" width="10.5" style="114" customWidth="1"/>
    <col min="4611" max="4611" width="11.75" style="114" customWidth="1"/>
    <col min="4612" max="4612" width="9.125" style="114" customWidth="1"/>
    <col min="4613" max="4613" width="8.625" style="114" customWidth="1"/>
    <col min="4614" max="4614" width="6.875" style="114" customWidth="1"/>
    <col min="4615" max="4615" width="11.75" style="114" customWidth="1"/>
    <col min="4616" max="4617" width="8.875" style="114" customWidth="1"/>
    <col min="4618" max="4618" width="10.625" style="114" customWidth="1"/>
    <col min="4619" max="4619" width="4.125" style="114" customWidth="1"/>
    <col min="4620" max="4620" width="6.625" style="114" customWidth="1"/>
    <col min="4621" max="4621" width="10.5" style="114" customWidth="1"/>
    <col min="4622" max="4863" width="9" style="114"/>
    <col min="4864" max="4864" width="6.25" style="114" customWidth="1"/>
    <col min="4865" max="4865" width="2.875" style="114" customWidth="1"/>
    <col min="4866" max="4866" width="10.5" style="114" customWidth="1"/>
    <col min="4867" max="4867" width="11.75" style="114" customWidth="1"/>
    <col min="4868" max="4868" width="9.125" style="114" customWidth="1"/>
    <col min="4869" max="4869" width="8.625" style="114" customWidth="1"/>
    <col min="4870" max="4870" width="6.875" style="114" customWidth="1"/>
    <col min="4871" max="4871" width="11.75" style="114" customWidth="1"/>
    <col min="4872" max="4873" width="8.875" style="114" customWidth="1"/>
    <col min="4874" max="4874" width="10.625" style="114" customWidth="1"/>
    <col min="4875" max="4875" width="4.125" style="114" customWidth="1"/>
    <col min="4876" max="4876" width="6.625" style="114" customWidth="1"/>
    <col min="4877" max="4877" width="10.5" style="114" customWidth="1"/>
    <col min="4878" max="5119" width="9" style="114"/>
    <col min="5120" max="5120" width="6.25" style="114" customWidth="1"/>
    <col min="5121" max="5121" width="2.875" style="114" customWidth="1"/>
    <col min="5122" max="5122" width="10.5" style="114" customWidth="1"/>
    <col min="5123" max="5123" width="11.75" style="114" customWidth="1"/>
    <col min="5124" max="5124" width="9.125" style="114" customWidth="1"/>
    <col min="5125" max="5125" width="8.625" style="114" customWidth="1"/>
    <col min="5126" max="5126" width="6.875" style="114" customWidth="1"/>
    <col min="5127" max="5127" width="11.75" style="114" customWidth="1"/>
    <col min="5128" max="5129" width="8.875" style="114" customWidth="1"/>
    <col min="5130" max="5130" width="10.625" style="114" customWidth="1"/>
    <col min="5131" max="5131" width="4.125" style="114" customWidth="1"/>
    <col min="5132" max="5132" width="6.625" style="114" customWidth="1"/>
    <col min="5133" max="5133" width="10.5" style="114" customWidth="1"/>
    <col min="5134" max="5375" width="9" style="114"/>
    <col min="5376" max="5376" width="6.25" style="114" customWidth="1"/>
    <col min="5377" max="5377" width="2.875" style="114" customWidth="1"/>
    <col min="5378" max="5378" width="10.5" style="114" customWidth="1"/>
    <col min="5379" max="5379" width="11.75" style="114" customWidth="1"/>
    <col min="5380" max="5380" width="9.125" style="114" customWidth="1"/>
    <col min="5381" max="5381" width="8.625" style="114" customWidth="1"/>
    <col min="5382" max="5382" width="6.875" style="114" customWidth="1"/>
    <col min="5383" max="5383" width="11.75" style="114" customWidth="1"/>
    <col min="5384" max="5385" width="8.875" style="114" customWidth="1"/>
    <col min="5386" max="5386" width="10.625" style="114" customWidth="1"/>
    <col min="5387" max="5387" width="4.125" style="114" customWidth="1"/>
    <col min="5388" max="5388" width="6.625" style="114" customWidth="1"/>
    <col min="5389" max="5389" width="10.5" style="114" customWidth="1"/>
    <col min="5390" max="5631" width="9" style="114"/>
    <col min="5632" max="5632" width="6.25" style="114" customWidth="1"/>
    <col min="5633" max="5633" width="2.875" style="114" customWidth="1"/>
    <col min="5634" max="5634" width="10.5" style="114" customWidth="1"/>
    <col min="5635" max="5635" width="11.75" style="114" customWidth="1"/>
    <col min="5636" max="5636" width="9.125" style="114" customWidth="1"/>
    <col min="5637" max="5637" width="8.625" style="114" customWidth="1"/>
    <col min="5638" max="5638" width="6.875" style="114" customWidth="1"/>
    <col min="5639" max="5639" width="11.75" style="114" customWidth="1"/>
    <col min="5640" max="5641" width="8.875" style="114" customWidth="1"/>
    <col min="5642" max="5642" width="10.625" style="114" customWidth="1"/>
    <col min="5643" max="5643" width="4.125" style="114" customWidth="1"/>
    <col min="5644" max="5644" width="6.625" style="114" customWidth="1"/>
    <col min="5645" max="5645" width="10.5" style="114" customWidth="1"/>
    <col min="5646" max="5887" width="9" style="114"/>
    <col min="5888" max="5888" width="6.25" style="114" customWidth="1"/>
    <col min="5889" max="5889" width="2.875" style="114" customWidth="1"/>
    <col min="5890" max="5890" width="10.5" style="114" customWidth="1"/>
    <col min="5891" max="5891" width="11.75" style="114" customWidth="1"/>
    <col min="5892" max="5892" width="9.125" style="114" customWidth="1"/>
    <col min="5893" max="5893" width="8.625" style="114" customWidth="1"/>
    <col min="5894" max="5894" width="6.875" style="114" customWidth="1"/>
    <col min="5895" max="5895" width="11.75" style="114" customWidth="1"/>
    <col min="5896" max="5897" width="8.875" style="114" customWidth="1"/>
    <col min="5898" max="5898" width="10.625" style="114" customWidth="1"/>
    <col min="5899" max="5899" width="4.125" style="114" customWidth="1"/>
    <col min="5900" max="5900" width="6.625" style="114" customWidth="1"/>
    <col min="5901" max="5901" width="10.5" style="114" customWidth="1"/>
    <col min="5902" max="6143" width="9" style="114"/>
    <col min="6144" max="6144" width="6.25" style="114" customWidth="1"/>
    <col min="6145" max="6145" width="2.875" style="114" customWidth="1"/>
    <col min="6146" max="6146" width="10.5" style="114" customWidth="1"/>
    <col min="6147" max="6147" width="11.75" style="114" customWidth="1"/>
    <col min="6148" max="6148" width="9.125" style="114" customWidth="1"/>
    <col min="6149" max="6149" width="8.625" style="114" customWidth="1"/>
    <col min="6150" max="6150" width="6.875" style="114" customWidth="1"/>
    <col min="6151" max="6151" width="11.75" style="114" customWidth="1"/>
    <col min="6152" max="6153" width="8.875" style="114" customWidth="1"/>
    <col min="6154" max="6154" width="10.625" style="114" customWidth="1"/>
    <col min="6155" max="6155" width="4.125" style="114" customWidth="1"/>
    <col min="6156" max="6156" width="6.625" style="114" customWidth="1"/>
    <col min="6157" max="6157" width="10.5" style="114" customWidth="1"/>
    <col min="6158" max="6399" width="9" style="114"/>
    <col min="6400" max="6400" width="6.25" style="114" customWidth="1"/>
    <col min="6401" max="6401" width="2.875" style="114" customWidth="1"/>
    <col min="6402" max="6402" width="10.5" style="114" customWidth="1"/>
    <col min="6403" max="6403" width="11.75" style="114" customWidth="1"/>
    <col min="6404" max="6404" width="9.125" style="114" customWidth="1"/>
    <col min="6405" max="6405" width="8.625" style="114" customWidth="1"/>
    <col min="6406" max="6406" width="6.875" style="114" customWidth="1"/>
    <col min="6407" max="6407" width="11.75" style="114" customWidth="1"/>
    <col min="6408" max="6409" width="8.875" style="114" customWidth="1"/>
    <col min="6410" max="6410" width="10.625" style="114" customWidth="1"/>
    <col min="6411" max="6411" width="4.125" style="114" customWidth="1"/>
    <col min="6412" max="6412" width="6.625" style="114" customWidth="1"/>
    <col min="6413" max="6413" width="10.5" style="114" customWidth="1"/>
    <col min="6414" max="6655" width="9" style="114"/>
    <col min="6656" max="6656" width="6.25" style="114" customWidth="1"/>
    <col min="6657" max="6657" width="2.875" style="114" customWidth="1"/>
    <col min="6658" max="6658" width="10.5" style="114" customWidth="1"/>
    <col min="6659" max="6659" width="11.75" style="114" customWidth="1"/>
    <col min="6660" max="6660" width="9.125" style="114" customWidth="1"/>
    <col min="6661" max="6661" width="8.625" style="114" customWidth="1"/>
    <col min="6662" max="6662" width="6.875" style="114" customWidth="1"/>
    <col min="6663" max="6663" width="11.75" style="114" customWidth="1"/>
    <col min="6664" max="6665" width="8.875" style="114" customWidth="1"/>
    <col min="6666" max="6666" width="10.625" style="114" customWidth="1"/>
    <col min="6667" max="6667" width="4.125" style="114" customWidth="1"/>
    <col min="6668" max="6668" width="6.625" style="114" customWidth="1"/>
    <col min="6669" max="6669" width="10.5" style="114" customWidth="1"/>
    <col min="6670" max="6911" width="9" style="114"/>
    <col min="6912" max="6912" width="6.25" style="114" customWidth="1"/>
    <col min="6913" max="6913" width="2.875" style="114" customWidth="1"/>
    <col min="6914" max="6914" width="10.5" style="114" customWidth="1"/>
    <col min="6915" max="6915" width="11.75" style="114" customWidth="1"/>
    <col min="6916" max="6916" width="9.125" style="114" customWidth="1"/>
    <col min="6917" max="6917" width="8.625" style="114" customWidth="1"/>
    <col min="6918" max="6918" width="6.875" style="114" customWidth="1"/>
    <col min="6919" max="6919" width="11.75" style="114" customWidth="1"/>
    <col min="6920" max="6921" width="8.875" style="114" customWidth="1"/>
    <col min="6922" max="6922" width="10.625" style="114" customWidth="1"/>
    <col min="6923" max="6923" width="4.125" style="114" customWidth="1"/>
    <col min="6924" max="6924" width="6.625" style="114" customWidth="1"/>
    <col min="6925" max="6925" width="10.5" style="114" customWidth="1"/>
    <col min="6926" max="7167" width="9" style="114"/>
    <col min="7168" max="7168" width="6.25" style="114" customWidth="1"/>
    <col min="7169" max="7169" width="2.875" style="114" customWidth="1"/>
    <col min="7170" max="7170" width="10.5" style="114" customWidth="1"/>
    <col min="7171" max="7171" width="11.75" style="114" customWidth="1"/>
    <col min="7172" max="7172" width="9.125" style="114" customWidth="1"/>
    <col min="7173" max="7173" width="8.625" style="114" customWidth="1"/>
    <col min="7174" max="7174" width="6.875" style="114" customWidth="1"/>
    <col min="7175" max="7175" width="11.75" style="114" customWidth="1"/>
    <col min="7176" max="7177" width="8.875" style="114" customWidth="1"/>
    <col min="7178" max="7178" width="10.625" style="114" customWidth="1"/>
    <col min="7179" max="7179" width="4.125" style="114" customWidth="1"/>
    <col min="7180" max="7180" width="6.625" style="114" customWidth="1"/>
    <col min="7181" max="7181" width="10.5" style="114" customWidth="1"/>
    <col min="7182" max="7423" width="9" style="114"/>
    <col min="7424" max="7424" width="6.25" style="114" customWidth="1"/>
    <col min="7425" max="7425" width="2.875" style="114" customWidth="1"/>
    <col min="7426" max="7426" width="10.5" style="114" customWidth="1"/>
    <col min="7427" max="7427" width="11.75" style="114" customWidth="1"/>
    <col min="7428" max="7428" width="9.125" style="114" customWidth="1"/>
    <col min="7429" max="7429" width="8.625" style="114" customWidth="1"/>
    <col min="7430" max="7430" width="6.875" style="114" customWidth="1"/>
    <col min="7431" max="7431" width="11.75" style="114" customWidth="1"/>
    <col min="7432" max="7433" width="8.875" style="114" customWidth="1"/>
    <col min="7434" max="7434" width="10.625" style="114" customWidth="1"/>
    <col min="7435" max="7435" width="4.125" style="114" customWidth="1"/>
    <col min="7436" max="7436" width="6.625" style="114" customWidth="1"/>
    <col min="7437" max="7437" width="10.5" style="114" customWidth="1"/>
    <col min="7438" max="7679" width="9" style="114"/>
    <col min="7680" max="7680" width="6.25" style="114" customWidth="1"/>
    <col min="7681" max="7681" width="2.875" style="114" customWidth="1"/>
    <col min="7682" max="7682" width="10.5" style="114" customWidth="1"/>
    <col min="7683" max="7683" width="11.75" style="114" customWidth="1"/>
    <col min="7684" max="7684" width="9.125" style="114" customWidth="1"/>
    <col min="7685" max="7685" width="8.625" style="114" customWidth="1"/>
    <col min="7686" max="7686" width="6.875" style="114" customWidth="1"/>
    <col min="7687" max="7687" width="11.75" style="114" customWidth="1"/>
    <col min="7688" max="7689" width="8.875" style="114" customWidth="1"/>
    <col min="7690" max="7690" width="10.625" style="114" customWidth="1"/>
    <col min="7691" max="7691" width="4.125" style="114" customWidth="1"/>
    <col min="7692" max="7692" width="6.625" style="114" customWidth="1"/>
    <col min="7693" max="7693" width="10.5" style="114" customWidth="1"/>
    <col min="7694" max="7935" width="9" style="114"/>
    <col min="7936" max="7936" width="6.25" style="114" customWidth="1"/>
    <col min="7937" max="7937" width="2.875" style="114" customWidth="1"/>
    <col min="7938" max="7938" width="10.5" style="114" customWidth="1"/>
    <col min="7939" max="7939" width="11.75" style="114" customWidth="1"/>
    <col min="7940" max="7940" width="9.125" style="114" customWidth="1"/>
    <col min="7941" max="7941" width="8.625" style="114" customWidth="1"/>
    <col min="7942" max="7942" width="6.875" style="114" customWidth="1"/>
    <col min="7943" max="7943" width="11.75" style="114" customWidth="1"/>
    <col min="7944" max="7945" width="8.875" style="114" customWidth="1"/>
    <col min="7946" max="7946" width="10.625" style="114" customWidth="1"/>
    <col min="7947" max="7947" width="4.125" style="114" customWidth="1"/>
    <col min="7948" max="7948" width="6.625" style="114" customWidth="1"/>
    <col min="7949" max="7949" width="10.5" style="114" customWidth="1"/>
    <col min="7950" max="8191" width="9" style="114"/>
    <col min="8192" max="8192" width="6.25" style="114" customWidth="1"/>
    <col min="8193" max="8193" width="2.875" style="114" customWidth="1"/>
    <col min="8194" max="8194" width="10.5" style="114" customWidth="1"/>
    <col min="8195" max="8195" width="11.75" style="114" customWidth="1"/>
    <col min="8196" max="8196" width="9.125" style="114" customWidth="1"/>
    <col min="8197" max="8197" width="8.625" style="114" customWidth="1"/>
    <col min="8198" max="8198" width="6.875" style="114" customWidth="1"/>
    <col min="8199" max="8199" width="11.75" style="114" customWidth="1"/>
    <col min="8200" max="8201" width="8.875" style="114" customWidth="1"/>
    <col min="8202" max="8202" width="10.625" style="114" customWidth="1"/>
    <col min="8203" max="8203" width="4.125" style="114" customWidth="1"/>
    <col min="8204" max="8204" width="6.625" style="114" customWidth="1"/>
    <col min="8205" max="8205" width="10.5" style="114" customWidth="1"/>
    <col min="8206" max="8447" width="9" style="114"/>
    <col min="8448" max="8448" width="6.25" style="114" customWidth="1"/>
    <col min="8449" max="8449" width="2.875" style="114" customWidth="1"/>
    <col min="8450" max="8450" width="10.5" style="114" customWidth="1"/>
    <col min="8451" max="8451" width="11.75" style="114" customWidth="1"/>
    <col min="8452" max="8452" width="9.125" style="114" customWidth="1"/>
    <col min="8453" max="8453" width="8.625" style="114" customWidth="1"/>
    <col min="8454" max="8454" width="6.875" style="114" customWidth="1"/>
    <col min="8455" max="8455" width="11.75" style="114" customWidth="1"/>
    <col min="8456" max="8457" width="8.875" style="114" customWidth="1"/>
    <col min="8458" max="8458" width="10.625" style="114" customWidth="1"/>
    <col min="8459" max="8459" width="4.125" style="114" customWidth="1"/>
    <col min="8460" max="8460" width="6.625" style="114" customWidth="1"/>
    <col min="8461" max="8461" width="10.5" style="114" customWidth="1"/>
    <col min="8462" max="8703" width="9" style="114"/>
    <col min="8704" max="8704" width="6.25" style="114" customWidth="1"/>
    <col min="8705" max="8705" width="2.875" style="114" customWidth="1"/>
    <col min="8706" max="8706" width="10.5" style="114" customWidth="1"/>
    <col min="8707" max="8707" width="11.75" style="114" customWidth="1"/>
    <col min="8708" max="8708" width="9.125" style="114" customWidth="1"/>
    <col min="8709" max="8709" width="8.625" style="114" customWidth="1"/>
    <col min="8710" max="8710" width="6.875" style="114" customWidth="1"/>
    <col min="8711" max="8711" width="11.75" style="114" customWidth="1"/>
    <col min="8712" max="8713" width="8.875" style="114" customWidth="1"/>
    <col min="8714" max="8714" width="10.625" style="114" customWidth="1"/>
    <col min="8715" max="8715" width="4.125" style="114" customWidth="1"/>
    <col min="8716" max="8716" width="6.625" style="114" customWidth="1"/>
    <col min="8717" max="8717" width="10.5" style="114" customWidth="1"/>
    <col min="8718" max="8959" width="9" style="114"/>
    <col min="8960" max="8960" width="6.25" style="114" customWidth="1"/>
    <col min="8961" max="8961" width="2.875" style="114" customWidth="1"/>
    <col min="8962" max="8962" width="10.5" style="114" customWidth="1"/>
    <col min="8963" max="8963" width="11.75" style="114" customWidth="1"/>
    <col min="8964" max="8964" width="9.125" style="114" customWidth="1"/>
    <col min="8965" max="8965" width="8.625" style="114" customWidth="1"/>
    <col min="8966" max="8966" width="6.875" style="114" customWidth="1"/>
    <col min="8967" max="8967" width="11.75" style="114" customWidth="1"/>
    <col min="8968" max="8969" width="8.875" style="114" customWidth="1"/>
    <col min="8970" max="8970" width="10.625" style="114" customWidth="1"/>
    <col min="8971" max="8971" width="4.125" style="114" customWidth="1"/>
    <col min="8972" max="8972" width="6.625" style="114" customWidth="1"/>
    <col min="8973" max="8973" width="10.5" style="114" customWidth="1"/>
    <col min="8974" max="9215" width="9" style="114"/>
    <col min="9216" max="9216" width="6.25" style="114" customWidth="1"/>
    <col min="9217" max="9217" width="2.875" style="114" customWidth="1"/>
    <col min="9218" max="9218" width="10.5" style="114" customWidth="1"/>
    <col min="9219" max="9219" width="11.75" style="114" customWidth="1"/>
    <col min="9220" max="9220" width="9.125" style="114" customWidth="1"/>
    <col min="9221" max="9221" width="8.625" style="114" customWidth="1"/>
    <col min="9222" max="9222" width="6.875" style="114" customWidth="1"/>
    <col min="9223" max="9223" width="11.75" style="114" customWidth="1"/>
    <col min="9224" max="9225" width="8.875" style="114" customWidth="1"/>
    <col min="9226" max="9226" width="10.625" style="114" customWidth="1"/>
    <col min="9227" max="9227" width="4.125" style="114" customWidth="1"/>
    <col min="9228" max="9228" width="6.625" style="114" customWidth="1"/>
    <col min="9229" max="9229" width="10.5" style="114" customWidth="1"/>
    <col min="9230" max="9471" width="9" style="114"/>
    <col min="9472" max="9472" width="6.25" style="114" customWidth="1"/>
    <col min="9473" max="9473" width="2.875" style="114" customWidth="1"/>
    <col min="9474" max="9474" width="10.5" style="114" customWidth="1"/>
    <col min="9475" max="9475" width="11.75" style="114" customWidth="1"/>
    <col min="9476" max="9476" width="9.125" style="114" customWidth="1"/>
    <col min="9477" max="9477" width="8.625" style="114" customWidth="1"/>
    <col min="9478" max="9478" width="6.875" style="114" customWidth="1"/>
    <col min="9479" max="9479" width="11.75" style="114" customWidth="1"/>
    <col min="9480" max="9481" width="8.875" style="114" customWidth="1"/>
    <col min="9482" max="9482" width="10.625" style="114" customWidth="1"/>
    <col min="9483" max="9483" width="4.125" style="114" customWidth="1"/>
    <col min="9484" max="9484" width="6.625" style="114" customWidth="1"/>
    <col min="9485" max="9485" width="10.5" style="114" customWidth="1"/>
    <col min="9486" max="9727" width="9" style="114"/>
    <col min="9728" max="9728" width="6.25" style="114" customWidth="1"/>
    <col min="9729" max="9729" width="2.875" style="114" customWidth="1"/>
    <col min="9730" max="9730" width="10.5" style="114" customWidth="1"/>
    <col min="9731" max="9731" width="11.75" style="114" customWidth="1"/>
    <col min="9732" max="9732" width="9.125" style="114" customWidth="1"/>
    <col min="9733" max="9733" width="8.625" style="114" customWidth="1"/>
    <col min="9734" max="9734" width="6.875" style="114" customWidth="1"/>
    <col min="9735" max="9735" width="11.75" style="114" customWidth="1"/>
    <col min="9736" max="9737" width="8.875" style="114" customWidth="1"/>
    <col min="9738" max="9738" width="10.625" style="114" customWidth="1"/>
    <col min="9739" max="9739" width="4.125" style="114" customWidth="1"/>
    <col min="9740" max="9740" width="6.625" style="114" customWidth="1"/>
    <col min="9741" max="9741" width="10.5" style="114" customWidth="1"/>
    <col min="9742" max="9983" width="9" style="114"/>
    <col min="9984" max="9984" width="6.25" style="114" customWidth="1"/>
    <col min="9985" max="9985" width="2.875" style="114" customWidth="1"/>
    <col min="9986" max="9986" width="10.5" style="114" customWidth="1"/>
    <col min="9987" max="9987" width="11.75" style="114" customWidth="1"/>
    <col min="9988" max="9988" width="9.125" style="114" customWidth="1"/>
    <col min="9989" max="9989" width="8.625" style="114" customWidth="1"/>
    <col min="9990" max="9990" width="6.875" style="114" customWidth="1"/>
    <col min="9991" max="9991" width="11.75" style="114" customWidth="1"/>
    <col min="9992" max="9993" width="8.875" style="114" customWidth="1"/>
    <col min="9994" max="9994" width="10.625" style="114" customWidth="1"/>
    <col min="9995" max="9995" width="4.125" style="114" customWidth="1"/>
    <col min="9996" max="9996" width="6.625" style="114" customWidth="1"/>
    <col min="9997" max="9997" width="10.5" style="114" customWidth="1"/>
    <col min="9998" max="10239" width="9" style="114"/>
    <col min="10240" max="10240" width="6.25" style="114" customWidth="1"/>
    <col min="10241" max="10241" width="2.875" style="114" customWidth="1"/>
    <col min="10242" max="10242" width="10.5" style="114" customWidth="1"/>
    <col min="10243" max="10243" width="11.75" style="114" customWidth="1"/>
    <col min="10244" max="10244" width="9.125" style="114" customWidth="1"/>
    <col min="10245" max="10245" width="8.625" style="114" customWidth="1"/>
    <col min="10246" max="10246" width="6.875" style="114" customWidth="1"/>
    <col min="10247" max="10247" width="11.75" style="114" customWidth="1"/>
    <col min="10248" max="10249" width="8.875" style="114" customWidth="1"/>
    <col min="10250" max="10250" width="10.625" style="114" customWidth="1"/>
    <col min="10251" max="10251" width="4.125" style="114" customWidth="1"/>
    <col min="10252" max="10252" width="6.625" style="114" customWidth="1"/>
    <col min="10253" max="10253" width="10.5" style="114" customWidth="1"/>
    <col min="10254" max="10495" width="9" style="114"/>
    <col min="10496" max="10496" width="6.25" style="114" customWidth="1"/>
    <col min="10497" max="10497" width="2.875" style="114" customWidth="1"/>
    <col min="10498" max="10498" width="10.5" style="114" customWidth="1"/>
    <col min="10499" max="10499" width="11.75" style="114" customWidth="1"/>
    <col min="10500" max="10500" width="9.125" style="114" customWidth="1"/>
    <col min="10501" max="10501" width="8.625" style="114" customWidth="1"/>
    <col min="10502" max="10502" width="6.875" style="114" customWidth="1"/>
    <col min="10503" max="10503" width="11.75" style="114" customWidth="1"/>
    <col min="10504" max="10505" width="8.875" style="114" customWidth="1"/>
    <col min="10506" max="10506" width="10.625" style="114" customWidth="1"/>
    <col min="10507" max="10507" width="4.125" style="114" customWidth="1"/>
    <col min="10508" max="10508" width="6.625" style="114" customWidth="1"/>
    <col min="10509" max="10509" width="10.5" style="114" customWidth="1"/>
    <col min="10510" max="10751" width="9" style="114"/>
    <col min="10752" max="10752" width="6.25" style="114" customWidth="1"/>
    <col min="10753" max="10753" width="2.875" style="114" customWidth="1"/>
    <col min="10754" max="10754" width="10.5" style="114" customWidth="1"/>
    <col min="10755" max="10755" width="11.75" style="114" customWidth="1"/>
    <col min="10756" max="10756" width="9.125" style="114" customWidth="1"/>
    <col min="10757" max="10757" width="8.625" style="114" customWidth="1"/>
    <col min="10758" max="10758" width="6.875" style="114" customWidth="1"/>
    <col min="10759" max="10759" width="11.75" style="114" customWidth="1"/>
    <col min="10760" max="10761" width="8.875" style="114" customWidth="1"/>
    <col min="10762" max="10762" width="10.625" style="114" customWidth="1"/>
    <col min="10763" max="10763" width="4.125" style="114" customWidth="1"/>
    <col min="10764" max="10764" width="6.625" style="114" customWidth="1"/>
    <col min="10765" max="10765" width="10.5" style="114" customWidth="1"/>
    <col min="10766" max="11007" width="9" style="114"/>
    <col min="11008" max="11008" width="6.25" style="114" customWidth="1"/>
    <col min="11009" max="11009" width="2.875" style="114" customWidth="1"/>
    <col min="11010" max="11010" width="10.5" style="114" customWidth="1"/>
    <col min="11011" max="11011" width="11.75" style="114" customWidth="1"/>
    <col min="11012" max="11012" width="9.125" style="114" customWidth="1"/>
    <col min="11013" max="11013" width="8.625" style="114" customWidth="1"/>
    <col min="11014" max="11014" width="6.875" style="114" customWidth="1"/>
    <col min="11015" max="11015" width="11.75" style="114" customWidth="1"/>
    <col min="11016" max="11017" width="8.875" style="114" customWidth="1"/>
    <col min="11018" max="11018" width="10.625" style="114" customWidth="1"/>
    <col min="11019" max="11019" width="4.125" style="114" customWidth="1"/>
    <col min="11020" max="11020" width="6.625" style="114" customWidth="1"/>
    <col min="11021" max="11021" width="10.5" style="114" customWidth="1"/>
    <col min="11022" max="11263" width="9" style="114"/>
    <col min="11264" max="11264" width="6.25" style="114" customWidth="1"/>
    <col min="11265" max="11265" width="2.875" style="114" customWidth="1"/>
    <col min="11266" max="11266" width="10.5" style="114" customWidth="1"/>
    <col min="11267" max="11267" width="11.75" style="114" customWidth="1"/>
    <col min="11268" max="11268" width="9.125" style="114" customWidth="1"/>
    <col min="11269" max="11269" width="8.625" style="114" customWidth="1"/>
    <col min="11270" max="11270" width="6.875" style="114" customWidth="1"/>
    <col min="11271" max="11271" width="11.75" style="114" customWidth="1"/>
    <col min="11272" max="11273" width="8.875" style="114" customWidth="1"/>
    <col min="11274" max="11274" width="10.625" style="114" customWidth="1"/>
    <col min="11275" max="11275" width="4.125" style="114" customWidth="1"/>
    <col min="11276" max="11276" width="6.625" style="114" customWidth="1"/>
    <col min="11277" max="11277" width="10.5" style="114" customWidth="1"/>
    <col min="11278" max="11519" width="9" style="114"/>
    <col min="11520" max="11520" width="6.25" style="114" customWidth="1"/>
    <col min="11521" max="11521" width="2.875" style="114" customWidth="1"/>
    <col min="11522" max="11522" width="10.5" style="114" customWidth="1"/>
    <col min="11523" max="11523" width="11.75" style="114" customWidth="1"/>
    <col min="11524" max="11524" width="9.125" style="114" customWidth="1"/>
    <col min="11525" max="11525" width="8.625" style="114" customWidth="1"/>
    <col min="11526" max="11526" width="6.875" style="114" customWidth="1"/>
    <col min="11527" max="11527" width="11.75" style="114" customWidth="1"/>
    <col min="11528" max="11529" width="8.875" style="114" customWidth="1"/>
    <col min="11530" max="11530" width="10.625" style="114" customWidth="1"/>
    <col min="11531" max="11531" width="4.125" style="114" customWidth="1"/>
    <col min="11532" max="11532" width="6.625" style="114" customWidth="1"/>
    <col min="11533" max="11533" width="10.5" style="114" customWidth="1"/>
    <col min="11534" max="11775" width="9" style="114"/>
    <col min="11776" max="11776" width="6.25" style="114" customWidth="1"/>
    <col min="11777" max="11777" width="2.875" style="114" customWidth="1"/>
    <col min="11778" max="11778" width="10.5" style="114" customWidth="1"/>
    <col min="11779" max="11779" width="11.75" style="114" customWidth="1"/>
    <col min="11780" max="11780" width="9.125" style="114" customWidth="1"/>
    <col min="11781" max="11781" width="8.625" style="114" customWidth="1"/>
    <col min="11782" max="11782" width="6.875" style="114" customWidth="1"/>
    <col min="11783" max="11783" width="11.75" style="114" customWidth="1"/>
    <col min="11784" max="11785" width="8.875" style="114" customWidth="1"/>
    <col min="11786" max="11786" width="10.625" style="114" customWidth="1"/>
    <col min="11787" max="11787" width="4.125" style="114" customWidth="1"/>
    <col min="11788" max="11788" width="6.625" style="114" customWidth="1"/>
    <col min="11789" max="11789" width="10.5" style="114" customWidth="1"/>
    <col min="11790" max="12031" width="9" style="114"/>
    <col min="12032" max="12032" width="6.25" style="114" customWidth="1"/>
    <col min="12033" max="12033" width="2.875" style="114" customWidth="1"/>
    <col min="12034" max="12034" width="10.5" style="114" customWidth="1"/>
    <col min="12035" max="12035" width="11.75" style="114" customWidth="1"/>
    <col min="12036" max="12036" width="9.125" style="114" customWidth="1"/>
    <col min="12037" max="12037" width="8.625" style="114" customWidth="1"/>
    <col min="12038" max="12038" width="6.875" style="114" customWidth="1"/>
    <col min="12039" max="12039" width="11.75" style="114" customWidth="1"/>
    <col min="12040" max="12041" width="8.875" style="114" customWidth="1"/>
    <col min="12042" max="12042" width="10.625" style="114" customWidth="1"/>
    <col min="12043" max="12043" width="4.125" style="114" customWidth="1"/>
    <col min="12044" max="12044" width="6.625" style="114" customWidth="1"/>
    <col min="12045" max="12045" width="10.5" style="114" customWidth="1"/>
    <col min="12046" max="12287" width="9" style="114"/>
    <col min="12288" max="12288" width="6.25" style="114" customWidth="1"/>
    <col min="12289" max="12289" width="2.875" style="114" customWidth="1"/>
    <col min="12290" max="12290" width="10.5" style="114" customWidth="1"/>
    <col min="12291" max="12291" width="11.75" style="114" customWidth="1"/>
    <col min="12292" max="12292" width="9.125" style="114" customWidth="1"/>
    <col min="12293" max="12293" width="8.625" style="114" customWidth="1"/>
    <col min="12294" max="12294" width="6.875" style="114" customWidth="1"/>
    <col min="12295" max="12295" width="11.75" style="114" customWidth="1"/>
    <col min="12296" max="12297" width="8.875" style="114" customWidth="1"/>
    <col min="12298" max="12298" width="10.625" style="114" customWidth="1"/>
    <col min="12299" max="12299" width="4.125" style="114" customWidth="1"/>
    <col min="12300" max="12300" width="6.625" style="114" customWidth="1"/>
    <col min="12301" max="12301" width="10.5" style="114" customWidth="1"/>
    <col min="12302" max="12543" width="9" style="114"/>
    <col min="12544" max="12544" width="6.25" style="114" customWidth="1"/>
    <col min="12545" max="12545" width="2.875" style="114" customWidth="1"/>
    <col min="12546" max="12546" width="10.5" style="114" customWidth="1"/>
    <col min="12547" max="12547" width="11.75" style="114" customWidth="1"/>
    <col min="12548" max="12548" width="9.125" style="114" customWidth="1"/>
    <col min="12549" max="12549" width="8.625" style="114" customWidth="1"/>
    <col min="12550" max="12550" width="6.875" style="114" customWidth="1"/>
    <col min="12551" max="12551" width="11.75" style="114" customWidth="1"/>
    <col min="12552" max="12553" width="8.875" style="114" customWidth="1"/>
    <col min="12554" max="12554" width="10.625" style="114" customWidth="1"/>
    <col min="12555" max="12555" width="4.125" style="114" customWidth="1"/>
    <col min="12556" max="12556" width="6.625" style="114" customWidth="1"/>
    <col min="12557" max="12557" width="10.5" style="114" customWidth="1"/>
    <col min="12558" max="12799" width="9" style="114"/>
    <col min="12800" max="12800" width="6.25" style="114" customWidth="1"/>
    <col min="12801" max="12801" width="2.875" style="114" customWidth="1"/>
    <col min="12802" max="12802" width="10.5" style="114" customWidth="1"/>
    <col min="12803" max="12803" width="11.75" style="114" customWidth="1"/>
    <col min="12804" max="12804" width="9.125" style="114" customWidth="1"/>
    <col min="12805" max="12805" width="8.625" style="114" customWidth="1"/>
    <col min="12806" max="12806" width="6.875" style="114" customWidth="1"/>
    <col min="12807" max="12807" width="11.75" style="114" customWidth="1"/>
    <col min="12808" max="12809" width="8.875" style="114" customWidth="1"/>
    <col min="12810" max="12810" width="10.625" style="114" customWidth="1"/>
    <col min="12811" max="12811" width="4.125" style="114" customWidth="1"/>
    <col min="12812" max="12812" width="6.625" style="114" customWidth="1"/>
    <col min="12813" max="12813" width="10.5" style="114" customWidth="1"/>
    <col min="12814" max="13055" width="9" style="114"/>
    <col min="13056" max="13056" width="6.25" style="114" customWidth="1"/>
    <col min="13057" max="13057" width="2.875" style="114" customWidth="1"/>
    <col min="13058" max="13058" width="10.5" style="114" customWidth="1"/>
    <col min="13059" max="13059" width="11.75" style="114" customWidth="1"/>
    <col min="13060" max="13060" width="9.125" style="114" customWidth="1"/>
    <col min="13061" max="13061" width="8.625" style="114" customWidth="1"/>
    <col min="13062" max="13062" width="6.875" style="114" customWidth="1"/>
    <col min="13063" max="13063" width="11.75" style="114" customWidth="1"/>
    <col min="13064" max="13065" width="8.875" style="114" customWidth="1"/>
    <col min="13066" max="13066" width="10.625" style="114" customWidth="1"/>
    <col min="13067" max="13067" width="4.125" style="114" customWidth="1"/>
    <col min="13068" max="13068" width="6.625" style="114" customWidth="1"/>
    <col min="13069" max="13069" width="10.5" style="114" customWidth="1"/>
    <col min="13070" max="13311" width="9" style="114"/>
    <col min="13312" max="13312" width="6.25" style="114" customWidth="1"/>
    <col min="13313" max="13313" width="2.875" style="114" customWidth="1"/>
    <col min="13314" max="13314" width="10.5" style="114" customWidth="1"/>
    <col min="13315" max="13315" width="11.75" style="114" customWidth="1"/>
    <col min="13316" max="13316" width="9.125" style="114" customWidth="1"/>
    <col min="13317" max="13317" width="8.625" style="114" customWidth="1"/>
    <col min="13318" max="13318" width="6.875" style="114" customWidth="1"/>
    <col min="13319" max="13319" width="11.75" style="114" customWidth="1"/>
    <col min="13320" max="13321" width="8.875" style="114" customWidth="1"/>
    <col min="13322" max="13322" width="10.625" style="114" customWidth="1"/>
    <col min="13323" max="13323" width="4.125" style="114" customWidth="1"/>
    <col min="13324" max="13324" width="6.625" style="114" customWidth="1"/>
    <col min="13325" max="13325" width="10.5" style="114" customWidth="1"/>
    <col min="13326" max="13567" width="9" style="114"/>
    <col min="13568" max="13568" width="6.25" style="114" customWidth="1"/>
    <col min="13569" max="13569" width="2.875" style="114" customWidth="1"/>
    <col min="13570" max="13570" width="10.5" style="114" customWidth="1"/>
    <col min="13571" max="13571" width="11.75" style="114" customWidth="1"/>
    <col min="13572" max="13572" width="9.125" style="114" customWidth="1"/>
    <col min="13573" max="13573" width="8.625" style="114" customWidth="1"/>
    <col min="13574" max="13574" width="6.875" style="114" customWidth="1"/>
    <col min="13575" max="13575" width="11.75" style="114" customWidth="1"/>
    <col min="13576" max="13577" width="8.875" style="114" customWidth="1"/>
    <col min="13578" max="13578" width="10.625" style="114" customWidth="1"/>
    <col min="13579" max="13579" width="4.125" style="114" customWidth="1"/>
    <col min="13580" max="13580" width="6.625" style="114" customWidth="1"/>
    <col min="13581" max="13581" width="10.5" style="114" customWidth="1"/>
    <col min="13582" max="13823" width="9" style="114"/>
    <col min="13824" max="13824" width="6.25" style="114" customWidth="1"/>
    <col min="13825" max="13825" width="2.875" style="114" customWidth="1"/>
    <col min="13826" max="13826" width="10.5" style="114" customWidth="1"/>
    <col min="13827" max="13827" width="11.75" style="114" customWidth="1"/>
    <col min="13828" max="13828" width="9.125" style="114" customWidth="1"/>
    <col min="13829" max="13829" width="8.625" style="114" customWidth="1"/>
    <col min="13830" max="13830" width="6.875" style="114" customWidth="1"/>
    <col min="13831" max="13831" width="11.75" style="114" customWidth="1"/>
    <col min="13832" max="13833" width="8.875" style="114" customWidth="1"/>
    <col min="13834" max="13834" width="10.625" style="114" customWidth="1"/>
    <col min="13835" max="13835" width="4.125" style="114" customWidth="1"/>
    <col min="13836" max="13836" width="6.625" style="114" customWidth="1"/>
    <col min="13837" max="13837" width="10.5" style="114" customWidth="1"/>
    <col min="13838" max="14079" width="9" style="114"/>
    <col min="14080" max="14080" width="6.25" style="114" customWidth="1"/>
    <col min="14081" max="14081" width="2.875" style="114" customWidth="1"/>
    <col min="14082" max="14082" width="10.5" style="114" customWidth="1"/>
    <col min="14083" max="14083" width="11.75" style="114" customWidth="1"/>
    <col min="14084" max="14084" width="9.125" style="114" customWidth="1"/>
    <col min="14085" max="14085" width="8.625" style="114" customWidth="1"/>
    <col min="14086" max="14086" width="6.875" style="114" customWidth="1"/>
    <col min="14087" max="14087" width="11.75" style="114" customWidth="1"/>
    <col min="14088" max="14089" width="8.875" style="114" customWidth="1"/>
    <col min="14090" max="14090" width="10.625" style="114" customWidth="1"/>
    <col min="14091" max="14091" width="4.125" style="114" customWidth="1"/>
    <col min="14092" max="14092" width="6.625" style="114" customWidth="1"/>
    <col min="14093" max="14093" width="10.5" style="114" customWidth="1"/>
    <col min="14094" max="14335" width="9" style="114"/>
    <col min="14336" max="14336" width="6.25" style="114" customWidth="1"/>
    <col min="14337" max="14337" width="2.875" style="114" customWidth="1"/>
    <col min="14338" max="14338" width="10.5" style="114" customWidth="1"/>
    <col min="14339" max="14339" width="11.75" style="114" customWidth="1"/>
    <col min="14340" max="14340" width="9.125" style="114" customWidth="1"/>
    <col min="14341" max="14341" width="8.625" style="114" customWidth="1"/>
    <col min="14342" max="14342" width="6.875" style="114" customWidth="1"/>
    <col min="14343" max="14343" width="11.75" style="114" customWidth="1"/>
    <col min="14344" max="14345" width="8.875" style="114" customWidth="1"/>
    <col min="14346" max="14346" width="10.625" style="114" customWidth="1"/>
    <col min="14347" max="14347" width="4.125" style="114" customWidth="1"/>
    <col min="14348" max="14348" width="6.625" style="114" customWidth="1"/>
    <col min="14349" max="14349" width="10.5" style="114" customWidth="1"/>
    <col min="14350" max="14591" width="9" style="114"/>
    <col min="14592" max="14592" width="6.25" style="114" customWidth="1"/>
    <col min="14593" max="14593" width="2.875" style="114" customWidth="1"/>
    <col min="14594" max="14594" width="10.5" style="114" customWidth="1"/>
    <col min="14595" max="14595" width="11.75" style="114" customWidth="1"/>
    <col min="14596" max="14596" width="9.125" style="114" customWidth="1"/>
    <col min="14597" max="14597" width="8.625" style="114" customWidth="1"/>
    <col min="14598" max="14598" width="6.875" style="114" customWidth="1"/>
    <col min="14599" max="14599" width="11.75" style="114" customWidth="1"/>
    <col min="14600" max="14601" width="8.875" style="114" customWidth="1"/>
    <col min="14602" max="14602" width="10.625" style="114" customWidth="1"/>
    <col min="14603" max="14603" width="4.125" style="114" customWidth="1"/>
    <col min="14604" max="14604" width="6.625" style="114" customWidth="1"/>
    <col min="14605" max="14605" width="10.5" style="114" customWidth="1"/>
    <col min="14606" max="14847" width="9" style="114"/>
    <col min="14848" max="14848" width="6.25" style="114" customWidth="1"/>
    <col min="14849" max="14849" width="2.875" style="114" customWidth="1"/>
    <col min="14850" max="14850" width="10.5" style="114" customWidth="1"/>
    <col min="14851" max="14851" width="11.75" style="114" customWidth="1"/>
    <col min="14852" max="14852" width="9.125" style="114" customWidth="1"/>
    <col min="14853" max="14853" width="8.625" style="114" customWidth="1"/>
    <col min="14854" max="14854" width="6.875" style="114" customWidth="1"/>
    <col min="14855" max="14855" width="11.75" style="114" customWidth="1"/>
    <col min="14856" max="14857" width="8.875" style="114" customWidth="1"/>
    <col min="14858" max="14858" width="10.625" style="114" customWidth="1"/>
    <col min="14859" max="14859" width="4.125" style="114" customWidth="1"/>
    <col min="14860" max="14860" width="6.625" style="114" customWidth="1"/>
    <col min="14861" max="14861" width="10.5" style="114" customWidth="1"/>
    <col min="14862" max="15103" width="9" style="114"/>
    <col min="15104" max="15104" width="6.25" style="114" customWidth="1"/>
    <col min="15105" max="15105" width="2.875" style="114" customWidth="1"/>
    <col min="15106" max="15106" width="10.5" style="114" customWidth="1"/>
    <col min="15107" max="15107" width="11.75" style="114" customWidth="1"/>
    <col min="15108" max="15108" width="9.125" style="114" customWidth="1"/>
    <col min="15109" max="15109" width="8.625" style="114" customWidth="1"/>
    <col min="15110" max="15110" width="6.875" style="114" customWidth="1"/>
    <col min="15111" max="15111" width="11.75" style="114" customWidth="1"/>
    <col min="15112" max="15113" width="8.875" style="114" customWidth="1"/>
    <col min="15114" max="15114" width="10.625" style="114" customWidth="1"/>
    <col min="15115" max="15115" width="4.125" style="114" customWidth="1"/>
    <col min="15116" max="15116" width="6.625" style="114" customWidth="1"/>
    <col min="15117" max="15117" width="10.5" style="114" customWidth="1"/>
    <col min="15118" max="15359" width="9" style="114"/>
    <col min="15360" max="15360" width="6.25" style="114" customWidth="1"/>
    <col min="15361" max="15361" width="2.875" style="114" customWidth="1"/>
    <col min="15362" max="15362" width="10.5" style="114" customWidth="1"/>
    <col min="15363" max="15363" width="11.75" style="114" customWidth="1"/>
    <col min="15364" max="15364" width="9.125" style="114" customWidth="1"/>
    <col min="15365" max="15365" width="8.625" style="114" customWidth="1"/>
    <col min="15366" max="15366" width="6.875" style="114" customWidth="1"/>
    <col min="15367" max="15367" width="11.75" style="114" customWidth="1"/>
    <col min="15368" max="15369" width="8.875" style="114" customWidth="1"/>
    <col min="15370" max="15370" width="10.625" style="114" customWidth="1"/>
    <col min="15371" max="15371" width="4.125" style="114" customWidth="1"/>
    <col min="15372" max="15372" width="6.625" style="114" customWidth="1"/>
    <col min="15373" max="15373" width="10.5" style="114" customWidth="1"/>
    <col min="15374" max="15615" width="9" style="114"/>
    <col min="15616" max="15616" width="6.25" style="114" customWidth="1"/>
    <col min="15617" max="15617" width="2.875" style="114" customWidth="1"/>
    <col min="15618" max="15618" width="10.5" style="114" customWidth="1"/>
    <col min="15619" max="15619" width="11.75" style="114" customWidth="1"/>
    <col min="15620" max="15620" width="9.125" style="114" customWidth="1"/>
    <col min="15621" max="15621" width="8.625" style="114" customWidth="1"/>
    <col min="15622" max="15622" width="6.875" style="114" customWidth="1"/>
    <col min="15623" max="15623" width="11.75" style="114" customWidth="1"/>
    <col min="15624" max="15625" width="8.875" style="114" customWidth="1"/>
    <col min="15626" max="15626" width="10.625" style="114" customWidth="1"/>
    <col min="15627" max="15627" width="4.125" style="114" customWidth="1"/>
    <col min="15628" max="15628" width="6.625" style="114" customWidth="1"/>
    <col min="15629" max="15629" width="10.5" style="114" customWidth="1"/>
    <col min="15630" max="15871" width="9" style="114"/>
    <col min="15872" max="15872" width="6.25" style="114" customWidth="1"/>
    <col min="15873" max="15873" width="2.875" style="114" customWidth="1"/>
    <col min="15874" max="15874" width="10.5" style="114" customWidth="1"/>
    <col min="15875" max="15875" width="11.75" style="114" customWidth="1"/>
    <col min="15876" max="15876" width="9.125" style="114" customWidth="1"/>
    <col min="15877" max="15877" width="8.625" style="114" customWidth="1"/>
    <col min="15878" max="15878" width="6.875" style="114" customWidth="1"/>
    <col min="15879" max="15879" width="11.75" style="114" customWidth="1"/>
    <col min="15880" max="15881" width="8.875" style="114" customWidth="1"/>
    <col min="15882" max="15882" width="10.625" style="114" customWidth="1"/>
    <col min="15883" max="15883" width="4.125" style="114" customWidth="1"/>
    <col min="15884" max="15884" width="6.625" style="114" customWidth="1"/>
    <col min="15885" max="15885" width="10.5" style="114" customWidth="1"/>
    <col min="15886" max="16127" width="9" style="114"/>
    <col min="16128" max="16128" width="6.25" style="114" customWidth="1"/>
    <col min="16129" max="16129" width="2.875" style="114" customWidth="1"/>
    <col min="16130" max="16130" width="10.5" style="114" customWidth="1"/>
    <col min="16131" max="16131" width="11.75" style="114" customWidth="1"/>
    <col min="16132" max="16132" width="9.125" style="114" customWidth="1"/>
    <col min="16133" max="16133" width="8.625" style="114" customWidth="1"/>
    <col min="16134" max="16134" width="6.875" style="114" customWidth="1"/>
    <col min="16135" max="16135" width="11.75" style="114" customWidth="1"/>
    <col min="16136" max="16137" width="8.875" style="114" customWidth="1"/>
    <col min="16138" max="16138" width="10.625" style="114" customWidth="1"/>
    <col min="16139" max="16139" width="4.125" style="114" customWidth="1"/>
    <col min="16140" max="16140" width="6.625" style="114" customWidth="1"/>
    <col min="16141" max="16141" width="10.5" style="114" customWidth="1"/>
    <col min="16142" max="16384" width="9" style="114"/>
  </cols>
  <sheetData>
    <row r="1" spans="1:14" ht="19.5" customHeight="1" thickBot="1">
      <c r="A1" s="277" t="s">
        <v>108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9"/>
    </row>
    <row r="2" spans="1:14" s="119" customFormat="1" ht="19.5" customHeight="1">
      <c r="A2" s="143" t="s">
        <v>109</v>
      </c>
      <c r="B2" s="115"/>
      <c r="C2" s="116" t="s">
        <v>151</v>
      </c>
      <c r="D2" s="116"/>
      <c r="E2" s="115"/>
      <c r="F2" s="115"/>
      <c r="G2" s="115"/>
      <c r="H2" s="115"/>
      <c r="I2" s="115"/>
      <c r="J2" s="117"/>
      <c r="K2" s="118" t="s">
        <v>110</v>
      </c>
      <c r="L2" s="115"/>
      <c r="M2" s="144">
        <f>+N2</f>
        <v>7726477</v>
      </c>
      <c r="N2" s="119">
        <v>7726477</v>
      </c>
    </row>
    <row r="3" spans="1:14" s="119" customFormat="1" ht="11.1" customHeight="1">
      <c r="A3" s="145"/>
      <c r="C3" s="119" t="s">
        <v>152</v>
      </c>
      <c r="J3" s="120"/>
      <c r="K3" s="121"/>
      <c r="L3" s="122"/>
      <c r="M3" s="146">
        <v>46120</v>
      </c>
    </row>
    <row r="4" spans="1:14" s="119" customFormat="1" ht="11.1" customHeight="1">
      <c r="A4" s="145"/>
      <c r="C4" s="119" t="s">
        <v>153</v>
      </c>
      <c r="J4" s="120"/>
      <c r="K4" s="183" t="s">
        <v>111</v>
      </c>
      <c r="L4" s="184"/>
      <c r="M4" s="185" t="s">
        <v>112</v>
      </c>
    </row>
    <row r="5" spans="1:14" s="119" customFormat="1" ht="11.1" customHeight="1">
      <c r="A5" s="145"/>
      <c r="J5" s="120"/>
      <c r="K5" s="123"/>
      <c r="M5" s="147"/>
    </row>
    <row r="6" spans="1:14" s="119" customFormat="1" ht="11.1" customHeight="1">
      <c r="A6" s="145"/>
      <c r="C6" s="119" t="s">
        <v>143</v>
      </c>
      <c r="E6" s="119">
        <v>3301677376</v>
      </c>
      <c r="J6" s="120"/>
      <c r="K6" s="123"/>
      <c r="M6" s="147"/>
    </row>
    <row r="7" spans="1:14" s="119" customFormat="1" ht="11.1" customHeight="1">
      <c r="A7" s="186" t="s">
        <v>113</v>
      </c>
      <c r="B7" s="187"/>
      <c r="C7" s="188" t="s">
        <v>156</v>
      </c>
      <c r="D7" s="188"/>
      <c r="E7" s="187"/>
      <c r="F7" s="187"/>
      <c r="G7" s="187"/>
      <c r="H7" s="187"/>
      <c r="I7" s="187"/>
      <c r="J7" s="189"/>
      <c r="K7" s="190" t="s">
        <v>114</v>
      </c>
      <c r="L7" s="184"/>
      <c r="M7" s="191"/>
    </row>
    <row r="8" spans="1:14" s="119" customFormat="1" ht="11.1" customHeight="1">
      <c r="A8" s="148"/>
      <c r="C8" s="149" t="s">
        <v>157</v>
      </c>
      <c r="D8" s="149"/>
      <c r="J8" s="134"/>
      <c r="M8" s="150"/>
    </row>
    <row r="9" spans="1:14" s="119" customFormat="1" ht="11.1" customHeight="1">
      <c r="A9" s="145"/>
      <c r="C9" s="119" t="s">
        <v>158</v>
      </c>
      <c r="J9" s="134"/>
      <c r="L9" s="119" t="s">
        <v>115</v>
      </c>
      <c r="M9" s="150"/>
    </row>
    <row r="10" spans="1:14" s="119" customFormat="1" ht="11.1" customHeight="1">
      <c r="A10" s="145"/>
      <c r="C10" s="119" t="s">
        <v>159</v>
      </c>
      <c r="J10" s="134"/>
      <c r="M10" s="150"/>
    </row>
    <row r="11" spans="1:14" s="119" customFormat="1" ht="11.1" customHeight="1">
      <c r="A11" s="151"/>
      <c r="B11" s="137"/>
      <c r="C11" s="137"/>
      <c r="D11" s="137"/>
      <c r="E11" s="137"/>
      <c r="F11" s="137"/>
      <c r="G11" s="137"/>
      <c r="H11" s="137"/>
      <c r="I11" s="137"/>
      <c r="J11" s="138"/>
      <c r="M11" s="150"/>
    </row>
    <row r="12" spans="1:14" s="119" customFormat="1" ht="11.1" customHeight="1">
      <c r="A12" s="148" t="s">
        <v>116</v>
      </c>
      <c r="K12" s="192" t="s">
        <v>117</v>
      </c>
      <c r="L12" s="187"/>
      <c r="M12" s="193"/>
    </row>
    <row r="13" spans="1:14" s="119" customFormat="1" ht="11.1" customHeight="1">
      <c r="A13" s="148"/>
      <c r="C13" s="149" t="s">
        <v>160</v>
      </c>
      <c r="D13" s="149"/>
      <c r="K13" s="133"/>
      <c r="M13" s="150"/>
    </row>
    <row r="14" spans="1:14" s="119" customFormat="1" ht="11.1" customHeight="1">
      <c r="A14" s="148"/>
      <c r="C14" s="119" t="s">
        <v>161</v>
      </c>
      <c r="K14" s="140" t="s">
        <v>142</v>
      </c>
      <c r="M14" s="150" t="s">
        <v>162</v>
      </c>
    </row>
    <row r="15" spans="1:14" s="119" customFormat="1" ht="11.1" customHeight="1">
      <c r="A15" s="152"/>
      <c r="B15" s="122"/>
      <c r="C15" s="122"/>
      <c r="D15" s="122"/>
      <c r="E15" s="122"/>
      <c r="F15" s="122"/>
      <c r="G15" s="122"/>
      <c r="H15" s="122"/>
      <c r="I15" s="122"/>
      <c r="J15" s="122"/>
      <c r="K15" s="141"/>
      <c r="L15" s="137"/>
      <c r="M15" s="153"/>
    </row>
    <row r="16" spans="1:14" s="119" customFormat="1" ht="11.1" customHeight="1">
      <c r="A16" s="148" t="s">
        <v>118</v>
      </c>
      <c r="J16" s="120"/>
      <c r="K16" s="123" t="s">
        <v>119</v>
      </c>
      <c r="M16" s="150"/>
    </row>
    <row r="17" spans="1:28" s="119" customFormat="1" ht="11.1" customHeight="1">
      <c r="A17" s="149" t="s">
        <v>160</v>
      </c>
      <c r="J17" s="120"/>
      <c r="K17" s="123"/>
      <c r="M17" s="150"/>
    </row>
    <row r="18" spans="1:28" s="119" customFormat="1" ht="11.1" customHeight="1">
      <c r="A18" s="119" t="s">
        <v>161</v>
      </c>
      <c r="J18" s="120"/>
      <c r="M18" s="150"/>
    </row>
    <row r="19" spans="1:28" s="119" customFormat="1" ht="11.1" customHeight="1">
      <c r="A19" s="145"/>
      <c r="J19" s="120"/>
      <c r="M19" s="150"/>
    </row>
    <row r="20" spans="1:28" s="119" customFormat="1" ht="11.1" customHeight="1">
      <c r="A20" s="194" t="s">
        <v>120</v>
      </c>
      <c r="B20" s="195">
        <v>46033</v>
      </c>
      <c r="C20" s="190"/>
      <c r="D20" s="190"/>
      <c r="E20" s="196"/>
      <c r="F20" s="192" t="s">
        <v>121</v>
      </c>
      <c r="G20" s="187" t="s">
        <v>122</v>
      </c>
      <c r="H20" s="187"/>
      <c r="I20" s="187"/>
      <c r="J20" s="189"/>
      <c r="K20" s="192" t="s">
        <v>123</v>
      </c>
      <c r="L20" s="187"/>
      <c r="M20" s="189"/>
    </row>
    <row r="21" spans="1:28" s="119" customFormat="1" ht="11.1" customHeight="1">
      <c r="A21" s="154"/>
      <c r="B21" s="124"/>
      <c r="C21" s="124"/>
      <c r="D21" s="124"/>
      <c r="E21" s="122"/>
      <c r="F21" s="136"/>
      <c r="G21" s="137"/>
      <c r="H21" s="137"/>
      <c r="I21" s="137"/>
      <c r="J21" s="138"/>
      <c r="K21" s="136"/>
      <c r="L21" s="137"/>
      <c r="M21" s="138"/>
    </row>
    <row r="22" spans="1:28" s="119" customFormat="1" ht="11.1" customHeight="1">
      <c r="A22" s="148" t="s">
        <v>124</v>
      </c>
      <c r="B22" s="155" t="s">
        <v>204</v>
      </c>
      <c r="C22" s="156"/>
      <c r="D22" s="156"/>
      <c r="F22" s="192" t="s">
        <v>125</v>
      </c>
      <c r="G22" s="187" t="s">
        <v>163</v>
      </c>
      <c r="H22" s="187"/>
      <c r="I22" s="187"/>
      <c r="J22" s="189"/>
      <c r="K22" s="168" t="s">
        <v>126</v>
      </c>
      <c r="L22" s="168"/>
      <c r="M22" s="182"/>
    </row>
    <row r="23" spans="1:28" s="119" customFormat="1" ht="11.1" customHeight="1">
      <c r="A23" s="145"/>
      <c r="B23" s="155"/>
      <c r="C23" s="155"/>
      <c r="D23" s="155"/>
      <c r="F23" s="135"/>
      <c r="J23" s="134"/>
      <c r="K23" s="166" t="s">
        <v>127</v>
      </c>
      <c r="M23" s="150"/>
    </row>
    <row r="24" spans="1:28" s="119" customFormat="1" ht="11.1" customHeight="1">
      <c r="A24" s="148" t="s">
        <v>128</v>
      </c>
      <c r="B24" s="166"/>
      <c r="C24" s="166"/>
      <c r="D24" s="166"/>
      <c r="F24" s="136"/>
      <c r="G24" s="137"/>
      <c r="H24" s="137"/>
      <c r="I24" s="137"/>
      <c r="J24" s="138"/>
      <c r="K24" s="166"/>
      <c r="M24" s="150"/>
      <c r="Q24" s="280" t="s">
        <v>149</v>
      </c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</row>
    <row r="25" spans="1:28" ht="30" customHeight="1">
      <c r="A25" s="226" t="s">
        <v>107</v>
      </c>
      <c r="B25" s="227" t="s">
        <v>146</v>
      </c>
      <c r="C25" s="227" t="s">
        <v>147</v>
      </c>
      <c r="D25" s="228" t="s">
        <v>155</v>
      </c>
      <c r="E25" s="281" t="s">
        <v>150</v>
      </c>
      <c r="F25" s="282"/>
      <c r="G25" s="283"/>
      <c r="H25" s="229" t="s">
        <v>148</v>
      </c>
      <c r="I25" s="229" t="s">
        <v>164</v>
      </c>
      <c r="J25" s="227" t="s">
        <v>14</v>
      </c>
      <c r="K25" s="226" t="s">
        <v>166</v>
      </c>
      <c r="L25" s="226"/>
      <c r="M25" s="226" t="s">
        <v>167</v>
      </c>
      <c r="O25" s="114" t="s">
        <v>196</v>
      </c>
    </row>
    <row r="26" spans="1:28" s="119" customFormat="1" ht="11.1" customHeight="1">
      <c r="A26" s="284"/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6"/>
    </row>
    <row r="27" spans="1:28" s="119" customFormat="1" ht="11.1" customHeight="1">
      <c r="A27" s="287" t="s">
        <v>197</v>
      </c>
      <c r="B27" s="288"/>
      <c r="C27" s="288"/>
      <c r="D27" s="288"/>
      <c r="E27" s="288"/>
      <c r="F27" s="288"/>
      <c r="G27" s="288"/>
      <c r="H27" s="288"/>
      <c r="I27" s="288"/>
      <c r="J27" s="288"/>
      <c r="K27" s="288"/>
      <c r="L27" s="288"/>
      <c r="M27" s="289"/>
    </row>
    <row r="28" spans="1:28" s="119" customFormat="1" ht="11.1" customHeight="1">
      <c r="A28" s="198"/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200"/>
    </row>
    <row r="29" spans="1:28" s="119" customFormat="1" ht="18.75" customHeight="1">
      <c r="A29" s="201" t="s">
        <v>205</v>
      </c>
      <c r="B29" s="202" t="s">
        <v>219</v>
      </c>
      <c r="C29" s="202" t="s">
        <v>220</v>
      </c>
      <c r="D29" s="203" t="s">
        <v>154</v>
      </c>
      <c r="E29" s="208" t="str">
        <f>+VLOOKUP(B29,'[3]danh muc PERRY, YMM'!F$2625:G$2747,2,0)</f>
        <v>82/18 POLYESTER/ELASTANE</v>
      </c>
      <c r="F29" s="209"/>
      <c r="G29" s="210"/>
      <c r="H29" s="205">
        <v>4</v>
      </c>
      <c r="I29" s="201">
        <v>4</v>
      </c>
      <c r="J29" s="201">
        <v>100</v>
      </c>
      <c r="K29" s="212">
        <f>+VLOOKUP(N29,'[4]he thong'!A$1:G$45,7,0)</f>
        <v>3.42</v>
      </c>
      <c r="L29" s="213"/>
      <c r="M29" s="212">
        <f>+K29*J29</f>
        <v>342</v>
      </c>
      <c r="N29" s="119">
        <v>800005744</v>
      </c>
    </row>
    <row r="30" spans="1:28" s="119" customFormat="1" ht="18.75" customHeight="1">
      <c r="A30" s="201" t="s">
        <v>205</v>
      </c>
      <c r="B30" s="202" t="s">
        <v>221</v>
      </c>
      <c r="C30" s="202" t="s">
        <v>220</v>
      </c>
      <c r="D30" s="203" t="s">
        <v>154</v>
      </c>
      <c r="E30" s="208" t="str">
        <f>+VLOOKUP(B30,'[3]danh muc PERRY, YMM'!F$2625:G$2747,2,0)</f>
        <v>82/18 POLYESTER/ELASTANE</v>
      </c>
      <c r="F30" s="209"/>
      <c r="G30" s="210"/>
      <c r="H30" s="205">
        <v>7</v>
      </c>
      <c r="I30" s="201">
        <v>7</v>
      </c>
      <c r="J30" s="201">
        <v>200</v>
      </c>
      <c r="K30" s="212">
        <f>+VLOOKUP(N30,'[4]he thong'!A$1:G$45,7,0)</f>
        <v>3.72</v>
      </c>
      <c r="L30" s="213"/>
      <c r="M30" s="212">
        <f t="shared" ref="M30:M71" si="0">+K30*J30</f>
        <v>744</v>
      </c>
      <c r="N30" s="119">
        <v>800005745</v>
      </c>
    </row>
    <row r="31" spans="1:28" s="119" customFormat="1" ht="18.75" customHeight="1">
      <c r="A31" s="293" t="s">
        <v>206</v>
      </c>
      <c r="B31" s="294" t="s">
        <v>222</v>
      </c>
      <c r="C31" s="294" t="s">
        <v>220</v>
      </c>
      <c r="D31" s="295"/>
      <c r="E31" s="208" t="str">
        <f>+VLOOKUP(B31,'[3]danh muc PERRY, YMM'!F$2625:G$2747,2,0)</f>
        <v>80/20 POLYAMIDE/ELASTANE</v>
      </c>
      <c r="F31" s="209"/>
      <c r="G31" s="296"/>
      <c r="H31" s="297">
        <v>15</v>
      </c>
      <c r="I31" s="293">
        <v>16</v>
      </c>
      <c r="J31" s="293">
        <v>500</v>
      </c>
      <c r="K31" s="212">
        <f>+VLOOKUP(N31,'[4]he thong'!A$1:G$45,7,0)</f>
        <v>3.78</v>
      </c>
      <c r="L31" s="213"/>
      <c r="M31" s="212">
        <f t="shared" si="0"/>
        <v>1890</v>
      </c>
      <c r="N31" s="119">
        <v>800005535</v>
      </c>
    </row>
    <row r="32" spans="1:28" s="119" customFormat="1" ht="18.75" customHeight="1">
      <c r="A32" s="293" t="s">
        <v>206</v>
      </c>
      <c r="B32" s="294" t="s">
        <v>222</v>
      </c>
      <c r="C32" s="294" t="s">
        <v>223</v>
      </c>
      <c r="D32" s="295"/>
      <c r="E32" s="208" t="str">
        <f>+VLOOKUP(B32,'[3]danh muc PERRY, YMM'!F$2625:G$2747,2,0)</f>
        <v>80/20 POLYAMIDE/ELASTANE</v>
      </c>
      <c r="F32" s="209"/>
      <c r="G32" s="296"/>
      <c r="H32" s="297">
        <v>8</v>
      </c>
      <c r="I32" s="293">
        <v>8</v>
      </c>
      <c r="J32" s="293">
        <v>250</v>
      </c>
      <c r="K32" s="212">
        <f>+VLOOKUP(N32,'[4]he thong'!A$1:G$45,7,0)</f>
        <v>3.83</v>
      </c>
      <c r="L32" s="213"/>
      <c r="M32" s="212">
        <f t="shared" si="0"/>
        <v>957.5</v>
      </c>
      <c r="N32" s="119">
        <v>800005507</v>
      </c>
    </row>
    <row r="33" spans="1:14" s="119" customFormat="1" ht="18.75" customHeight="1">
      <c r="A33" s="293" t="s">
        <v>207</v>
      </c>
      <c r="B33" s="294" t="s">
        <v>222</v>
      </c>
      <c r="C33" s="294" t="s">
        <v>220</v>
      </c>
      <c r="D33" s="295"/>
      <c r="E33" s="208" t="str">
        <f>+VLOOKUP(B33,'[3]danh muc PERRY, YMM'!F$2625:G$2747,2,0)</f>
        <v>80/20 POLYAMIDE/ELASTANE</v>
      </c>
      <c r="F33" s="209"/>
      <c r="G33" s="296"/>
      <c r="H33" s="297">
        <v>30</v>
      </c>
      <c r="I33" s="293">
        <v>30</v>
      </c>
      <c r="J33" s="293">
        <v>990</v>
      </c>
      <c r="K33" s="212">
        <f>+VLOOKUP(N33,'[4]he thong'!A$1:G$45,7,0)</f>
        <v>3.78</v>
      </c>
      <c r="L33" s="213"/>
      <c r="M33" s="212">
        <f t="shared" si="0"/>
        <v>3742.2</v>
      </c>
      <c r="N33" s="119">
        <v>800005536</v>
      </c>
    </row>
    <row r="34" spans="1:14" s="119" customFormat="1" ht="18.75" customHeight="1">
      <c r="A34" s="293" t="s">
        <v>207</v>
      </c>
      <c r="B34" s="294" t="s">
        <v>222</v>
      </c>
      <c r="C34" s="294" t="s">
        <v>223</v>
      </c>
      <c r="D34" s="295"/>
      <c r="E34" s="208" t="str">
        <f>+VLOOKUP(B34,'[3]danh muc PERRY, YMM'!F$2625:G$2747,2,0)</f>
        <v>80/20 POLYAMIDE/ELASTANE</v>
      </c>
      <c r="F34" s="209"/>
      <c r="G34" s="296"/>
      <c r="H34" s="297">
        <v>15</v>
      </c>
      <c r="I34" s="293">
        <v>16</v>
      </c>
      <c r="J34" s="293">
        <v>500</v>
      </c>
      <c r="K34" s="212">
        <f>+VLOOKUP(N34,'[4]he thong'!A$1:G$45,7,0)</f>
        <v>3.83</v>
      </c>
      <c r="L34" s="213"/>
      <c r="M34" s="212">
        <f t="shared" si="0"/>
        <v>1915</v>
      </c>
      <c r="N34" s="119">
        <v>800005537</v>
      </c>
    </row>
    <row r="35" spans="1:14" s="119" customFormat="1" ht="18.75" customHeight="1">
      <c r="A35" s="293" t="s">
        <v>208</v>
      </c>
      <c r="B35" s="294" t="s">
        <v>222</v>
      </c>
      <c r="C35" s="294" t="s">
        <v>220</v>
      </c>
      <c r="D35" s="295"/>
      <c r="E35" s="208" t="str">
        <f>+VLOOKUP(B35,'[3]danh muc PERRY, YMM'!F$2625:G$2747,2,0)</f>
        <v>80/20 POLYAMIDE/ELASTANE</v>
      </c>
      <c r="F35" s="209"/>
      <c r="G35" s="296"/>
      <c r="H35" s="297">
        <v>15</v>
      </c>
      <c r="I35" s="293">
        <v>16</v>
      </c>
      <c r="J35" s="293">
        <v>500</v>
      </c>
      <c r="K35" s="212">
        <f>+VLOOKUP(N35,'[4]he thong'!A$1:G$45,7,0)</f>
        <v>3.78</v>
      </c>
      <c r="L35" s="213"/>
      <c r="M35" s="212">
        <f t="shared" si="0"/>
        <v>1890</v>
      </c>
      <c r="N35" s="119">
        <v>800005540</v>
      </c>
    </row>
    <row r="36" spans="1:14" s="119" customFormat="1" ht="18.75" customHeight="1">
      <c r="A36" s="293" t="s">
        <v>208</v>
      </c>
      <c r="B36" s="294" t="s">
        <v>222</v>
      </c>
      <c r="C36" s="294" t="s">
        <v>223</v>
      </c>
      <c r="D36" s="295"/>
      <c r="E36" s="208" t="str">
        <f>+VLOOKUP(B36,'[3]danh muc PERRY, YMM'!F$2625:G$2747,2,0)</f>
        <v>80/20 POLYAMIDE/ELASTANE</v>
      </c>
      <c r="F36" s="209"/>
      <c r="G36" s="296"/>
      <c r="H36" s="297">
        <v>8</v>
      </c>
      <c r="I36" s="293">
        <v>8</v>
      </c>
      <c r="J36" s="293">
        <v>250</v>
      </c>
      <c r="K36" s="212">
        <f>+VLOOKUP(N36,'[4]he thong'!A$1:G$45,7,0)</f>
        <v>3.83</v>
      </c>
      <c r="L36" s="213"/>
      <c r="M36" s="212">
        <f t="shared" si="0"/>
        <v>957.5</v>
      </c>
      <c r="N36" s="119">
        <v>800005541</v>
      </c>
    </row>
    <row r="37" spans="1:14" s="119" customFormat="1" ht="18.75" customHeight="1">
      <c r="A37" s="293" t="s">
        <v>209</v>
      </c>
      <c r="B37" s="294" t="s">
        <v>222</v>
      </c>
      <c r="C37" s="294" t="s">
        <v>224</v>
      </c>
      <c r="D37" s="295"/>
      <c r="E37" s="208" t="str">
        <f>+VLOOKUP(B37,'[3]danh muc PERRY, YMM'!F$2625:G$2747,2,0)</f>
        <v>80/20 POLYAMIDE/ELASTANE</v>
      </c>
      <c r="F37" s="209"/>
      <c r="G37" s="296"/>
      <c r="H37" s="297">
        <v>3</v>
      </c>
      <c r="I37" s="293">
        <v>4</v>
      </c>
      <c r="J37" s="293">
        <v>48</v>
      </c>
      <c r="K37" s="212">
        <f>+VLOOKUP(N37,'[4]he thong'!A$1:G$45,7,0)</f>
        <v>3.81</v>
      </c>
      <c r="L37" s="213"/>
      <c r="M37" s="212">
        <f t="shared" si="0"/>
        <v>182.88</v>
      </c>
      <c r="N37" s="119">
        <v>800005754</v>
      </c>
    </row>
    <row r="38" spans="1:14" s="119" customFormat="1" ht="18.75" customHeight="1">
      <c r="A38" s="293" t="s">
        <v>210</v>
      </c>
      <c r="B38" s="294" t="s">
        <v>222</v>
      </c>
      <c r="C38" s="294" t="s">
        <v>220</v>
      </c>
      <c r="D38" s="295"/>
      <c r="E38" s="208" t="str">
        <f>+VLOOKUP(B38,'[3]danh muc PERRY, YMM'!F$2625:G$2747,2,0)</f>
        <v>80/20 POLYAMIDE/ELASTANE</v>
      </c>
      <c r="F38" s="209"/>
      <c r="G38" s="296"/>
      <c r="H38" s="297">
        <v>5</v>
      </c>
      <c r="I38" s="293">
        <v>5</v>
      </c>
      <c r="J38" s="293">
        <v>120</v>
      </c>
      <c r="K38" s="212">
        <f>+VLOOKUP(N38,'[4]he thong'!A$1:G$45,7,0)</f>
        <v>3.75</v>
      </c>
      <c r="L38" s="213"/>
      <c r="M38" s="212">
        <f t="shared" si="0"/>
        <v>450</v>
      </c>
      <c r="N38" s="119">
        <v>800005755</v>
      </c>
    </row>
    <row r="39" spans="1:14" s="119" customFormat="1" ht="18.75" customHeight="1">
      <c r="A39" s="293" t="s">
        <v>210</v>
      </c>
      <c r="B39" s="294" t="s">
        <v>222</v>
      </c>
      <c r="C39" s="294" t="s">
        <v>224</v>
      </c>
      <c r="D39" s="295"/>
      <c r="E39" s="208" t="str">
        <f>+VLOOKUP(B39,'[3]danh muc PERRY, YMM'!F$2625:G$2747,2,0)</f>
        <v>80/20 POLYAMIDE/ELASTANE</v>
      </c>
      <c r="F39" s="209"/>
      <c r="G39" s="296"/>
      <c r="H39" s="297">
        <v>5</v>
      </c>
      <c r="I39" s="293">
        <v>5</v>
      </c>
      <c r="J39" s="293">
        <v>120</v>
      </c>
      <c r="K39" s="212">
        <f>+VLOOKUP(N39,'[4]he thong'!A$1:G$45,7,0)</f>
        <v>3.8</v>
      </c>
      <c r="L39" s="213"/>
      <c r="M39" s="212">
        <f t="shared" si="0"/>
        <v>456</v>
      </c>
      <c r="N39" s="119">
        <v>800005756</v>
      </c>
    </row>
    <row r="40" spans="1:14" s="119" customFormat="1" ht="18.75" customHeight="1">
      <c r="A40" s="293" t="s">
        <v>210</v>
      </c>
      <c r="B40" s="294" t="s">
        <v>222</v>
      </c>
      <c r="C40" s="294" t="s">
        <v>223</v>
      </c>
      <c r="D40" s="295"/>
      <c r="E40" s="208" t="str">
        <f>+VLOOKUP(B40,'[3]danh muc PERRY, YMM'!F$2625:G$2747,2,0)</f>
        <v>80/20 POLYAMIDE/ELASTANE</v>
      </c>
      <c r="F40" s="209"/>
      <c r="G40" s="296"/>
      <c r="H40" s="297">
        <v>5</v>
      </c>
      <c r="I40" s="293">
        <v>5</v>
      </c>
      <c r="J40" s="293">
        <v>120</v>
      </c>
      <c r="K40" s="212">
        <f>+VLOOKUP(N40,'[4]he thong'!A$1:G$45,7,0)</f>
        <v>3.8</v>
      </c>
      <c r="L40" s="213"/>
      <c r="M40" s="212">
        <f t="shared" si="0"/>
        <v>456</v>
      </c>
      <c r="N40" s="119">
        <v>800005757</v>
      </c>
    </row>
    <row r="41" spans="1:14" s="119" customFormat="1" ht="18.75" customHeight="1">
      <c r="A41" s="293" t="s">
        <v>210</v>
      </c>
      <c r="B41" s="294" t="s">
        <v>225</v>
      </c>
      <c r="C41" s="294" t="s">
        <v>220</v>
      </c>
      <c r="D41" s="295"/>
      <c r="E41" s="208" t="str">
        <f>+VLOOKUP(B41,'[3]danh muc PERRY, YMM'!F$2625:G$2747,2,0)</f>
        <v>80/20 POLYAMIDE/ELASTANE</v>
      </c>
      <c r="F41" s="209"/>
      <c r="G41" s="296"/>
      <c r="H41" s="297">
        <v>5</v>
      </c>
      <c r="I41" s="293">
        <v>5</v>
      </c>
      <c r="J41" s="293">
        <v>96</v>
      </c>
      <c r="K41" s="212">
        <f>+VLOOKUP(N41,'[4]he thong'!A$1:G$45,7,0)</f>
        <v>5.18</v>
      </c>
      <c r="L41" s="213"/>
      <c r="M41" s="212">
        <f t="shared" si="0"/>
        <v>497.28</v>
      </c>
      <c r="N41" s="119">
        <v>800005758</v>
      </c>
    </row>
    <row r="42" spans="1:14" s="119" customFormat="1" ht="18.75" customHeight="1">
      <c r="A42" s="293" t="s">
        <v>210</v>
      </c>
      <c r="B42" s="294" t="s">
        <v>225</v>
      </c>
      <c r="C42" s="294" t="s">
        <v>223</v>
      </c>
      <c r="D42" s="295"/>
      <c r="E42" s="208" t="str">
        <f>+VLOOKUP(B42,'[3]danh muc PERRY, YMM'!F$2625:G$2747,2,0)</f>
        <v>80/20 POLYAMIDE/ELASTANE</v>
      </c>
      <c r="F42" s="209"/>
      <c r="G42" s="296"/>
      <c r="H42" s="297">
        <v>5</v>
      </c>
      <c r="I42" s="293">
        <v>5</v>
      </c>
      <c r="J42" s="293">
        <v>96</v>
      </c>
      <c r="K42" s="212">
        <f>+VLOOKUP(N42,'[4]he thong'!A$1:G$45,7,0)</f>
        <v>5.42</v>
      </c>
      <c r="L42" s="213"/>
      <c r="M42" s="212">
        <f t="shared" si="0"/>
        <v>520.31999999999994</v>
      </c>
      <c r="N42" s="119">
        <v>800005759</v>
      </c>
    </row>
    <row r="43" spans="1:14" s="119" customFormat="1" ht="18.75" customHeight="1">
      <c r="A43" s="293" t="s">
        <v>210</v>
      </c>
      <c r="B43" s="294" t="s">
        <v>226</v>
      </c>
      <c r="C43" s="294" t="s">
        <v>224</v>
      </c>
      <c r="D43" s="295"/>
      <c r="E43" s="208" t="str">
        <f>+VLOOKUP(B43,'[3]danh muc PERRY, YMM'!F$2625:G$2747,2,0)</f>
        <v>82/18 POLYESTER/ELASTANE</v>
      </c>
      <c r="F43" s="209"/>
      <c r="G43" s="296"/>
      <c r="H43" s="297">
        <v>4</v>
      </c>
      <c r="I43" s="293">
        <v>5</v>
      </c>
      <c r="J43" s="293">
        <v>72</v>
      </c>
      <c r="K43" s="212">
        <f>+VLOOKUP(N43,'[4]he thong'!A$1:G$45,7,0)</f>
        <v>4.5</v>
      </c>
      <c r="L43" s="213"/>
      <c r="M43" s="212">
        <f t="shared" si="0"/>
        <v>324</v>
      </c>
      <c r="N43" s="119">
        <v>800005760</v>
      </c>
    </row>
    <row r="44" spans="1:14" s="119" customFormat="1" ht="18.75" customHeight="1">
      <c r="A44" s="293" t="s">
        <v>210</v>
      </c>
      <c r="B44" s="294" t="s">
        <v>226</v>
      </c>
      <c r="C44" s="294" t="s">
        <v>223</v>
      </c>
      <c r="D44" s="295"/>
      <c r="E44" s="208" t="str">
        <f>+VLOOKUP(B44,'[3]danh muc PERRY, YMM'!F$2625:G$2747,2,0)</f>
        <v>82/18 POLYESTER/ELASTANE</v>
      </c>
      <c r="F44" s="209"/>
      <c r="G44" s="296"/>
      <c r="H44" s="297">
        <v>4</v>
      </c>
      <c r="I44" s="293">
        <v>5</v>
      </c>
      <c r="J44" s="293">
        <v>72</v>
      </c>
      <c r="K44" s="212">
        <f>+VLOOKUP(N44,'[4]he thong'!A$1:G$45,7,0)</f>
        <v>4.5</v>
      </c>
      <c r="L44" s="213"/>
      <c r="M44" s="212">
        <f t="shared" si="0"/>
        <v>324</v>
      </c>
      <c r="N44" s="119">
        <v>800005761</v>
      </c>
    </row>
    <row r="45" spans="1:14" s="119" customFormat="1" ht="18.75" customHeight="1">
      <c r="A45" s="293" t="s">
        <v>211</v>
      </c>
      <c r="B45" s="294" t="s">
        <v>219</v>
      </c>
      <c r="C45" s="294" t="s">
        <v>220</v>
      </c>
      <c r="D45" s="295"/>
      <c r="E45" s="208" t="str">
        <f>+VLOOKUP(B45,'[3]danh muc PERRY, YMM'!F$2625:G$2747,2,0)</f>
        <v>82/18 POLYESTER/ELASTANE</v>
      </c>
      <c r="F45" s="209"/>
      <c r="G45" s="296"/>
      <c r="H45" s="297">
        <v>9</v>
      </c>
      <c r="I45" s="293">
        <v>9</v>
      </c>
      <c r="J45" s="293">
        <v>216</v>
      </c>
      <c r="K45" s="212">
        <f>+VLOOKUP(N45,'[4]he thong'!A$1:G$45,7,0)</f>
        <v>3.33</v>
      </c>
      <c r="L45" s="213"/>
      <c r="M45" s="212">
        <f t="shared" si="0"/>
        <v>719.28</v>
      </c>
      <c r="N45" s="119">
        <v>800005762</v>
      </c>
    </row>
    <row r="46" spans="1:14" s="119" customFormat="1" ht="18.75" customHeight="1">
      <c r="A46" s="293" t="s">
        <v>211</v>
      </c>
      <c r="B46" s="294" t="s">
        <v>227</v>
      </c>
      <c r="C46" s="294" t="s">
        <v>220</v>
      </c>
      <c r="D46" s="295"/>
      <c r="E46" s="208" t="str">
        <f>+VLOOKUP(B46,'[3]danh muc PERRY, YMM'!F$2625:G$2747,2,0)</f>
        <v>82/18 POLYESTER/ELASTANE</v>
      </c>
      <c r="F46" s="209"/>
      <c r="G46" s="296"/>
      <c r="H46" s="297">
        <v>5</v>
      </c>
      <c r="I46" s="293">
        <v>7</v>
      </c>
      <c r="J46" s="293">
        <v>120</v>
      </c>
      <c r="K46" s="212">
        <f>+VLOOKUP(N46,'[4]he thong'!A$1:G$45,7,0)</f>
        <v>5.17</v>
      </c>
      <c r="L46" s="213"/>
      <c r="M46" s="212">
        <f t="shared" si="0"/>
        <v>620.4</v>
      </c>
      <c r="N46" s="119">
        <v>800005763</v>
      </c>
    </row>
    <row r="47" spans="1:14" s="119" customFormat="1" ht="18.75" customHeight="1">
      <c r="A47" s="293" t="s">
        <v>211</v>
      </c>
      <c r="B47" s="294" t="s">
        <v>228</v>
      </c>
      <c r="C47" s="294" t="s">
        <v>229</v>
      </c>
      <c r="D47" s="295"/>
      <c r="E47" s="208" t="str">
        <f>+VLOOKUP(B47,'[3]danh muc PERRY, YMM'!F$2625:G$2747,2,0)</f>
        <v>83/17 RECYCLED POLY/ELAS</v>
      </c>
      <c r="F47" s="209"/>
      <c r="G47" s="296"/>
      <c r="H47" s="297">
        <v>5</v>
      </c>
      <c r="I47" s="293">
        <v>6</v>
      </c>
      <c r="J47" s="293">
        <v>72</v>
      </c>
      <c r="K47" s="212">
        <f>+VLOOKUP(N47,'[4]he thong'!A$1:G$45,7,0)</f>
        <v>7.87</v>
      </c>
      <c r="L47" s="213"/>
      <c r="M47" s="212">
        <f t="shared" si="0"/>
        <v>566.64</v>
      </c>
      <c r="N47" s="119">
        <v>800005764</v>
      </c>
    </row>
    <row r="48" spans="1:14" s="119" customFormat="1" ht="18.75" customHeight="1">
      <c r="A48" s="293" t="s">
        <v>211</v>
      </c>
      <c r="B48" s="294" t="s">
        <v>228</v>
      </c>
      <c r="C48" s="294" t="s">
        <v>223</v>
      </c>
      <c r="D48" s="295"/>
      <c r="E48" s="208" t="str">
        <f>+VLOOKUP(B48,'[3]danh muc PERRY, YMM'!F$2625:G$2747,2,0)</f>
        <v>83/17 RECYCLED POLY/ELAS</v>
      </c>
      <c r="F48" s="209"/>
      <c r="G48" s="296"/>
      <c r="H48" s="297">
        <v>5</v>
      </c>
      <c r="I48" s="293">
        <v>6</v>
      </c>
      <c r="J48" s="293">
        <v>72</v>
      </c>
      <c r="K48" s="212">
        <f>+VLOOKUP(N48,'[4]he thong'!A$1:G$45,7,0)</f>
        <v>7.88</v>
      </c>
      <c r="L48" s="213"/>
      <c r="M48" s="212">
        <f t="shared" si="0"/>
        <v>567.36</v>
      </c>
      <c r="N48" s="119">
        <v>800005765</v>
      </c>
    </row>
    <row r="49" spans="1:14" s="119" customFormat="1" ht="18.75" customHeight="1">
      <c r="A49" s="293" t="s">
        <v>212</v>
      </c>
      <c r="B49" s="294" t="s">
        <v>219</v>
      </c>
      <c r="C49" s="294" t="s">
        <v>220</v>
      </c>
      <c r="D49" s="295"/>
      <c r="E49" s="208" t="str">
        <f>+VLOOKUP(B49,'[3]danh muc PERRY, YMM'!F$2625:G$2747,2,0)</f>
        <v>82/18 POLYESTER/ELASTANE</v>
      </c>
      <c r="F49" s="209"/>
      <c r="G49" s="296"/>
      <c r="H49" s="297">
        <v>3</v>
      </c>
      <c r="I49" s="293">
        <v>3</v>
      </c>
      <c r="J49" s="293">
        <v>72</v>
      </c>
      <c r="K49" s="212">
        <f>+VLOOKUP(N49,'[4]he thong'!A$1:G$45,7,0)</f>
        <v>3.33</v>
      </c>
      <c r="L49" s="213"/>
      <c r="M49" s="212">
        <f t="shared" si="0"/>
        <v>239.76</v>
      </c>
      <c r="N49" s="119">
        <v>800005766</v>
      </c>
    </row>
    <row r="50" spans="1:14" s="119" customFormat="1" ht="18.75" customHeight="1">
      <c r="A50" s="293" t="s">
        <v>212</v>
      </c>
      <c r="B50" s="294" t="s">
        <v>221</v>
      </c>
      <c r="C50" s="294" t="s">
        <v>220</v>
      </c>
      <c r="D50" s="295"/>
      <c r="E50" s="208" t="str">
        <f>+VLOOKUP(B50,'[3]danh muc PERRY, YMM'!F$2625:G$2747,2,0)</f>
        <v>82/18 POLYESTER/ELASTANE</v>
      </c>
      <c r="F50" s="209"/>
      <c r="G50" s="296"/>
      <c r="H50" s="297">
        <v>3</v>
      </c>
      <c r="I50" s="293">
        <v>3</v>
      </c>
      <c r="J50" s="293">
        <v>72</v>
      </c>
      <c r="K50" s="212">
        <f>+VLOOKUP(N50,'[4]he thong'!A$1:G$45,7,0)</f>
        <v>3.63</v>
      </c>
      <c r="L50" s="213"/>
      <c r="M50" s="212">
        <f t="shared" si="0"/>
        <v>261.36</v>
      </c>
      <c r="N50" s="119">
        <v>800005767</v>
      </c>
    </row>
    <row r="51" spans="1:14" s="119" customFormat="1" ht="18.75" customHeight="1">
      <c r="A51" s="293" t="s">
        <v>213</v>
      </c>
      <c r="B51" s="294" t="s">
        <v>230</v>
      </c>
      <c r="C51" s="294" t="s">
        <v>220</v>
      </c>
      <c r="D51" s="295"/>
      <c r="E51" s="208" t="str">
        <f>+VLOOKUP(B51,'[3]danh muc PERRY, YMM'!F$2625:G$2747,2,0)</f>
        <v xml:space="preserve"> 80/20 POLYAMIDE/ELASTANE</v>
      </c>
      <c r="F51" s="209"/>
      <c r="G51" s="296"/>
      <c r="H51" s="297">
        <v>3</v>
      </c>
      <c r="I51" s="293">
        <v>4</v>
      </c>
      <c r="J51" s="293">
        <v>48</v>
      </c>
      <c r="K51" s="212">
        <f>+VLOOKUP(N51,'[4]he thong'!A$1:G$45,7,0)</f>
        <v>4.1500000000000004</v>
      </c>
      <c r="L51" s="213"/>
      <c r="M51" s="212">
        <f t="shared" si="0"/>
        <v>199.20000000000002</v>
      </c>
      <c r="N51" s="119">
        <v>800005736</v>
      </c>
    </row>
    <row r="52" spans="1:14" s="119" customFormat="1" ht="18.75" customHeight="1">
      <c r="A52" s="293" t="s">
        <v>214</v>
      </c>
      <c r="B52" s="294" t="s">
        <v>219</v>
      </c>
      <c r="C52" s="294" t="s">
        <v>220</v>
      </c>
      <c r="D52" s="295"/>
      <c r="E52" s="208" t="str">
        <f>+VLOOKUP(B52,'[3]danh muc PERRY, YMM'!F$2625:G$2747,2,0)</f>
        <v>82/18 POLYESTER/ELASTANE</v>
      </c>
      <c r="F52" s="209"/>
      <c r="G52" s="296"/>
      <c r="H52" s="297">
        <v>3</v>
      </c>
      <c r="I52" s="293">
        <v>4</v>
      </c>
      <c r="J52" s="293">
        <v>48</v>
      </c>
      <c r="K52" s="212">
        <f>+VLOOKUP(N52,'[4]he thong'!A$1:G$45,7,0)</f>
        <v>3.34</v>
      </c>
      <c r="L52" s="213"/>
      <c r="M52" s="212">
        <f t="shared" si="0"/>
        <v>160.32</v>
      </c>
      <c r="N52" s="119">
        <v>800005768</v>
      </c>
    </row>
    <row r="53" spans="1:14" s="119" customFormat="1" ht="18.75" customHeight="1">
      <c r="A53" s="293" t="s">
        <v>215</v>
      </c>
      <c r="B53" s="294" t="s">
        <v>222</v>
      </c>
      <c r="C53" s="294" t="s">
        <v>220</v>
      </c>
      <c r="D53" s="295"/>
      <c r="E53" s="208" t="str">
        <f>+VLOOKUP(B53,'[3]danh muc PERRY, YMM'!F$2625:G$2747,2,0)</f>
        <v>80/20 POLYAMIDE/ELASTANE</v>
      </c>
      <c r="F53" s="209"/>
      <c r="G53" s="296"/>
      <c r="H53" s="297">
        <v>5</v>
      </c>
      <c r="I53" s="293">
        <v>5</v>
      </c>
      <c r="J53" s="293">
        <v>120</v>
      </c>
      <c r="K53" s="212">
        <f>+VLOOKUP(N53,'[4]he thong'!A$1:G$45,7,0)</f>
        <v>3.75</v>
      </c>
      <c r="L53" s="213"/>
      <c r="M53" s="212">
        <f t="shared" si="0"/>
        <v>450</v>
      </c>
      <c r="N53" s="119">
        <v>800005769</v>
      </c>
    </row>
    <row r="54" spans="1:14" s="119" customFormat="1" ht="18.75" customHeight="1">
      <c r="A54" s="293" t="s">
        <v>215</v>
      </c>
      <c r="B54" s="294" t="s">
        <v>221</v>
      </c>
      <c r="C54" s="294" t="s">
        <v>220</v>
      </c>
      <c r="D54" s="295"/>
      <c r="E54" s="208" t="str">
        <f>+VLOOKUP(B54,'[3]danh muc PERRY, YMM'!F$2625:G$2747,2,0)</f>
        <v>82/18 POLYESTER/ELASTANE</v>
      </c>
      <c r="F54" s="209"/>
      <c r="G54" s="296"/>
      <c r="H54" s="297">
        <v>5</v>
      </c>
      <c r="I54" s="293">
        <v>5</v>
      </c>
      <c r="J54" s="293">
        <v>120</v>
      </c>
      <c r="K54" s="212">
        <f>+VLOOKUP(N54,'[4]he thong'!A$1:G$45,7,0)</f>
        <v>3.63</v>
      </c>
      <c r="L54" s="213"/>
      <c r="M54" s="212">
        <f t="shared" si="0"/>
        <v>435.59999999999997</v>
      </c>
      <c r="N54" s="119">
        <v>800005770</v>
      </c>
    </row>
    <row r="55" spans="1:14" s="119" customFormat="1" ht="18.75" customHeight="1">
      <c r="A55" s="293" t="s">
        <v>215</v>
      </c>
      <c r="B55" s="294" t="s">
        <v>227</v>
      </c>
      <c r="C55" s="294" t="s">
        <v>220</v>
      </c>
      <c r="D55" s="295"/>
      <c r="E55" s="208" t="str">
        <f>+VLOOKUP(B55,'[3]danh muc PERRY, YMM'!F$2625:G$2747,2,0)</f>
        <v>82/18 POLYESTER/ELASTANE</v>
      </c>
      <c r="F55" s="209"/>
      <c r="G55" s="296"/>
      <c r="H55" s="297">
        <v>7</v>
      </c>
      <c r="I55" s="293">
        <v>7</v>
      </c>
      <c r="J55" s="293">
        <v>168</v>
      </c>
      <c r="K55" s="212">
        <f>+VLOOKUP(N55,'[4]he thong'!A$1:G$45,7,0)</f>
        <v>5.17</v>
      </c>
      <c r="L55" s="213"/>
      <c r="M55" s="212">
        <f t="shared" si="0"/>
        <v>868.56</v>
      </c>
      <c r="N55" s="119">
        <v>800005771</v>
      </c>
    </row>
    <row r="56" spans="1:14" s="119" customFormat="1" ht="18.75" customHeight="1">
      <c r="A56" s="293" t="s">
        <v>215</v>
      </c>
      <c r="B56" s="294" t="s">
        <v>228</v>
      </c>
      <c r="C56" s="294" t="s">
        <v>229</v>
      </c>
      <c r="D56" s="295"/>
      <c r="E56" s="208" t="str">
        <f>+VLOOKUP(B56,'[3]danh muc PERRY, YMM'!F$2625:G$2747,2,0)</f>
        <v>83/17 RECYCLED POLY/ELAS</v>
      </c>
      <c r="F56" s="209"/>
      <c r="G56" s="296"/>
      <c r="H56" s="297">
        <v>5</v>
      </c>
      <c r="I56" s="293">
        <v>5</v>
      </c>
      <c r="J56" s="293">
        <v>120</v>
      </c>
      <c r="K56" s="212">
        <f>+VLOOKUP(N56,'[4]he thong'!A$1:G$45,7,0)</f>
        <v>7.87</v>
      </c>
      <c r="L56" s="213"/>
      <c r="M56" s="212">
        <f t="shared" si="0"/>
        <v>944.4</v>
      </c>
      <c r="N56" s="119">
        <v>800005772</v>
      </c>
    </row>
    <row r="57" spans="1:14" s="119" customFormat="1" ht="18.75" customHeight="1">
      <c r="A57" s="293" t="s">
        <v>215</v>
      </c>
      <c r="B57" s="294" t="s">
        <v>228</v>
      </c>
      <c r="C57" s="294" t="s">
        <v>223</v>
      </c>
      <c r="D57" s="295"/>
      <c r="E57" s="208" t="str">
        <f>+VLOOKUP(B57,'[3]danh muc PERRY, YMM'!F$2625:G$2747,2,0)</f>
        <v>83/17 RECYCLED POLY/ELAS</v>
      </c>
      <c r="F57" s="209"/>
      <c r="G57" s="296"/>
      <c r="H57" s="297">
        <v>5</v>
      </c>
      <c r="I57" s="293">
        <v>5</v>
      </c>
      <c r="J57" s="293">
        <v>120</v>
      </c>
      <c r="K57" s="212">
        <f>+VLOOKUP(N57,'[4]he thong'!A$1:G$45,7,0)</f>
        <v>7.88</v>
      </c>
      <c r="L57" s="213"/>
      <c r="M57" s="212">
        <f t="shared" si="0"/>
        <v>945.6</v>
      </c>
      <c r="N57" s="119">
        <v>800005773</v>
      </c>
    </row>
    <row r="58" spans="1:14" s="119" customFormat="1" ht="18.75" customHeight="1">
      <c r="A58" s="293" t="s">
        <v>215</v>
      </c>
      <c r="B58" s="294" t="s">
        <v>226</v>
      </c>
      <c r="C58" s="294" t="s">
        <v>224</v>
      </c>
      <c r="D58" s="295"/>
      <c r="E58" s="208" t="str">
        <f>+VLOOKUP(B58,'[3]danh muc PERRY, YMM'!F$2625:G$2747,2,0)</f>
        <v>82/18 POLYESTER/ELASTANE</v>
      </c>
      <c r="F58" s="209"/>
      <c r="G58" s="296"/>
      <c r="H58" s="297">
        <v>5</v>
      </c>
      <c r="I58" s="293">
        <v>5</v>
      </c>
      <c r="J58" s="293">
        <v>120</v>
      </c>
      <c r="K58" s="212">
        <f>+VLOOKUP(N58,'[4]he thong'!A$1:G$45,7,0)</f>
        <v>4.5</v>
      </c>
      <c r="L58" s="213"/>
      <c r="M58" s="212">
        <f t="shared" si="0"/>
        <v>540</v>
      </c>
      <c r="N58" s="119">
        <v>800005775</v>
      </c>
    </row>
    <row r="59" spans="1:14" s="119" customFormat="1" ht="18.75" customHeight="1">
      <c r="A59" s="293" t="s">
        <v>215</v>
      </c>
      <c r="B59" s="294" t="s">
        <v>226</v>
      </c>
      <c r="C59" s="294" t="s">
        <v>223</v>
      </c>
      <c r="D59" s="295"/>
      <c r="E59" s="208" t="str">
        <f>+VLOOKUP(B59,'[3]danh muc PERRY, YMM'!F$2625:G$2747,2,0)</f>
        <v>82/18 POLYESTER/ELASTANE</v>
      </c>
      <c r="F59" s="209"/>
      <c r="G59" s="296"/>
      <c r="H59" s="297">
        <v>5</v>
      </c>
      <c r="I59" s="293">
        <v>5</v>
      </c>
      <c r="J59" s="293">
        <v>120</v>
      </c>
      <c r="K59" s="212">
        <f>+VLOOKUP(N59,'[4]he thong'!A$1:G$45,7,0)</f>
        <v>4.5</v>
      </c>
      <c r="L59" s="213"/>
      <c r="M59" s="212">
        <f t="shared" si="0"/>
        <v>540</v>
      </c>
      <c r="N59" s="119">
        <v>800005776</v>
      </c>
    </row>
    <row r="60" spans="1:14" s="119" customFormat="1" ht="18.75" customHeight="1">
      <c r="A60" s="293" t="s">
        <v>216</v>
      </c>
      <c r="B60" s="294" t="s">
        <v>222</v>
      </c>
      <c r="C60" s="294" t="s">
        <v>224</v>
      </c>
      <c r="D60" s="295"/>
      <c r="E60" s="208" t="str">
        <f>+VLOOKUP(B60,'[3]danh muc PERRY, YMM'!F$2625:G$2747,2,0)</f>
        <v>80/20 POLYAMIDE/ELASTANE</v>
      </c>
      <c r="F60" s="209"/>
      <c r="G60" s="296"/>
      <c r="H60" s="297">
        <v>2</v>
      </c>
      <c r="I60" s="293">
        <v>5</v>
      </c>
      <c r="J60" s="293">
        <v>24</v>
      </c>
      <c r="K60" s="212">
        <f>+VLOOKUP(N60,'[4]he thong'!A$1:G$45,7,0)</f>
        <v>3.86</v>
      </c>
      <c r="L60" s="213"/>
      <c r="M60" s="212">
        <f t="shared" si="0"/>
        <v>92.64</v>
      </c>
      <c r="N60" s="119">
        <v>800005777</v>
      </c>
    </row>
    <row r="61" spans="1:14" s="119" customFormat="1" ht="18.75" customHeight="1">
      <c r="A61" s="293" t="s">
        <v>216</v>
      </c>
      <c r="B61" s="294" t="s">
        <v>222</v>
      </c>
      <c r="C61" s="294" t="s">
        <v>223</v>
      </c>
      <c r="D61" s="295"/>
      <c r="E61" s="208" t="str">
        <f>+VLOOKUP(B61,'[3]danh muc PERRY, YMM'!F$2625:G$2747,2,0)</f>
        <v>80/20 POLYAMIDE/ELASTANE</v>
      </c>
      <c r="F61" s="209"/>
      <c r="G61" s="296"/>
      <c r="H61" s="297">
        <v>2</v>
      </c>
      <c r="I61" s="293">
        <v>5</v>
      </c>
      <c r="J61" s="293">
        <v>24</v>
      </c>
      <c r="K61" s="212">
        <f>+VLOOKUP(N61,'[4]he thong'!A$1:G$45,7,0)</f>
        <v>3.86</v>
      </c>
      <c r="L61" s="213"/>
      <c r="M61" s="212">
        <f t="shared" si="0"/>
        <v>92.64</v>
      </c>
      <c r="N61" s="119">
        <v>800005778</v>
      </c>
    </row>
    <row r="62" spans="1:14" s="119" customFormat="1" ht="18.75" customHeight="1">
      <c r="A62" s="293" t="s">
        <v>216</v>
      </c>
      <c r="B62" s="294" t="s">
        <v>230</v>
      </c>
      <c r="C62" s="294" t="s">
        <v>220</v>
      </c>
      <c r="D62" s="295"/>
      <c r="E62" s="208" t="str">
        <f>+VLOOKUP(B62,'[3]danh muc PERRY, YMM'!F$2625:G$2747,2,0)</f>
        <v xml:space="preserve"> 80/20 POLYAMIDE/ELASTANE</v>
      </c>
      <c r="F62" s="209"/>
      <c r="G62" s="296"/>
      <c r="H62" s="297">
        <v>2</v>
      </c>
      <c r="I62" s="293">
        <v>5</v>
      </c>
      <c r="J62" s="293">
        <v>24</v>
      </c>
      <c r="K62" s="212">
        <f>+VLOOKUP(N62,'[4]he thong'!A$1:G$45,7,0)</f>
        <v>4.2</v>
      </c>
      <c r="L62" s="213"/>
      <c r="M62" s="212">
        <f t="shared" si="0"/>
        <v>100.80000000000001</v>
      </c>
      <c r="N62" s="119">
        <v>800005737</v>
      </c>
    </row>
    <row r="63" spans="1:14" s="119" customFormat="1" ht="18.75" customHeight="1">
      <c r="A63" s="293" t="s">
        <v>216</v>
      </c>
      <c r="B63" s="294" t="s">
        <v>226</v>
      </c>
      <c r="C63" s="294" t="s">
        <v>224</v>
      </c>
      <c r="D63" s="295"/>
      <c r="E63" s="208" t="str">
        <f>+VLOOKUP(B63,'[3]danh muc PERRY, YMM'!F$2625:G$2747,2,0)</f>
        <v>82/18 POLYESTER/ELASTANE</v>
      </c>
      <c r="F63" s="209"/>
      <c r="G63" s="296"/>
      <c r="H63" s="297">
        <v>2</v>
      </c>
      <c r="I63" s="293">
        <v>5</v>
      </c>
      <c r="J63" s="293">
        <v>24</v>
      </c>
      <c r="K63" s="212">
        <f>+VLOOKUP(N63,'[4]he thong'!A$1:G$45,7,0)</f>
        <v>4.5599999999999996</v>
      </c>
      <c r="L63" s="213"/>
      <c r="M63" s="212">
        <f t="shared" si="0"/>
        <v>109.44</v>
      </c>
      <c r="N63" s="119">
        <v>800005779</v>
      </c>
    </row>
    <row r="64" spans="1:14" s="119" customFormat="1" ht="18.75" customHeight="1">
      <c r="A64" s="293" t="s">
        <v>216</v>
      </c>
      <c r="B64" s="294" t="s">
        <v>226</v>
      </c>
      <c r="C64" s="294" t="s">
        <v>223</v>
      </c>
      <c r="D64" s="295"/>
      <c r="E64" s="208" t="str">
        <f>+VLOOKUP(B64,'[3]danh muc PERRY, YMM'!F$2625:G$2747,2,0)</f>
        <v>82/18 POLYESTER/ELASTANE</v>
      </c>
      <c r="F64" s="209"/>
      <c r="G64" s="296"/>
      <c r="H64" s="297">
        <v>2</v>
      </c>
      <c r="I64" s="293">
        <v>5</v>
      </c>
      <c r="J64" s="293">
        <v>24</v>
      </c>
      <c r="K64" s="212">
        <f>+VLOOKUP(N64,'[4]he thong'!A$1:G$45,7,0)</f>
        <v>4.5599999999999996</v>
      </c>
      <c r="L64" s="213"/>
      <c r="M64" s="212">
        <f t="shared" si="0"/>
        <v>109.44</v>
      </c>
      <c r="N64" s="119">
        <v>800005780</v>
      </c>
    </row>
    <row r="65" spans="1:14" s="119" customFormat="1" ht="18.75" customHeight="1">
      <c r="A65" s="293" t="s">
        <v>217</v>
      </c>
      <c r="B65" s="294" t="s">
        <v>219</v>
      </c>
      <c r="C65" s="294" t="s">
        <v>220</v>
      </c>
      <c r="D65" s="295"/>
      <c r="E65" s="208" t="str">
        <f>+VLOOKUP(B65,'[3]danh muc PERRY, YMM'!F$2625:G$2747,2,0)</f>
        <v>82/18 POLYESTER/ELASTANE</v>
      </c>
      <c r="F65" s="209"/>
      <c r="G65" s="296"/>
      <c r="H65" s="297">
        <v>5</v>
      </c>
      <c r="I65" s="293">
        <v>6</v>
      </c>
      <c r="J65" s="293">
        <v>120</v>
      </c>
      <c r="K65" s="212">
        <f>+VLOOKUP(N65,'[4]he thong'!A$1:G$45,7,0)</f>
        <v>3.39</v>
      </c>
      <c r="L65" s="213"/>
      <c r="M65" s="212">
        <f t="shared" si="0"/>
        <v>406.8</v>
      </c>
      <c r="N65" s="119">
        <v>800005781</v>
      </c>
    </row>
    <row r="66" spans="1:14" s="119" customFormat="1" ht="18.75" customHeight="1">
      <c r="A66" s="293" t="s">
        <v>217</v>
      </c>
      <c r="B66" s="294" t="s">
        <v>221</v>
      </c>
      <c r="C66" s="294" t="s">
        <v>220</v>
      </c>
      <c r="D66" s="295"/>
      <c r="E66" s="208" t="str">
        <f>+VLOOKUP(B66,'[3]danh muc PERRY, YMM'!F$2625:G$2747,2,0)</f>
        <v>82/18 POLYESTER/ELASTANE</v>
      </c>
      <c r="F66" s="209"/>
      <c r="G66" s="296"/>
      <c r="H66" s="297">
        <v>5</v>
      </c>
      <c r="I66" s="293">
        <v>6</v>
      </c>
      <c r="J66" s="293">
        <v>120</v>
      </c>
      <c r="K66" s="212">
        <f>+VLOOKUP(N66,'[4]he thong'!A$1:G$45,7,0)</f>
        <v>3.69</v>
      </c>
      <c r="L66" s="213"/>
      <c r="M66" s="212">
        <f t="shared" si="0"/>
        <v>442.8</v>
      </c>
      <c r="N66" s="119">
        <v>800005782</v>
      </c>
    </row>
    <row r="67" spans="1:14" s="119" customFormat="1" ht="18.75" customHeight="1">
      <c r="A67" s="293" t="s">
        <v>217</v>
      </c>
      <c r="B67" s="294" t="s">
        <v>227</v>
      </c>
      <c r="C67" s="294" t="s">
        <v>220</v>
      </c>
      <c r="D67" s="295"/>
      <c r="E67" s="208" t="str">
        <f>+VLOOKUP(B67,'[3]danh muc PERRY, YMM'!F$2625:G$2747,2,0)</f>
        <v>82/18 POLYESTER/ELASTANE</v>
      </c>
      <c r="F67" s="209"/>
      <c r="G67" s="296"/>
      <c r="H67" s="297">
        <v>5</v>
      </c>
      <c r="I67" s="293">
        <v>6</v>
      </c>
      <c r="J67" s="293">
        <v>120</v>
      </c>
      <c r="K67" s="212">
        <f>+VLOOKUP(N67,'[4]he thong'!A$1:G$45,7,0)</f>
        <v>5.23</v>
      </c>
      <c r="L67" s="213"/>
      <c r="M67" s="212">
        <f t="shared" si="0"/>
        <v>627.6</v>
      </c>
      <c r="N67" s="119">
        <v>800005783</v>
      </c>
    </row>
    <row r="68" spans="1:14" s="119" customFormat="1" ht="18.75" customHeight="1">
      <c r="A68" s="293" t="s">
        <v>217</v>
      </c>
      <c r="B68" s="294" t="s">
        <v>228</v>
      </c>
      <c r="C68" s="294" t="s">
        <v>229</v>
      </c>
      <c r="D68" s="295"/>
      <c r="E68" s="208" t="str">
        <f>+VLOOKUP(B68,'[3]danh muc PERRY, YMM'!F$2625:G$2747,2,0)</f>
        <v>83/17 RECYCLED POLY/ELAS</v>
      </c>
      <c r="F68" s="209"/>
      <c r="G68" s="296"/>
      <c r="H68" s="297">
        <v>1</v>
      </c>
      <c r="I68" s="293">
        <v>4</v>
      </c>
      <c r="J68" s="293">
        <v>24</v>
      </c>
      <c r="K68" s="212">
        <f>+VLOOKUP(N68,'[4]he thong'!A$1:G$45,7,0)</f>
        <v>7.93</v>
      </c>
      <c r="L68" s="213"/>
      <c r="M68" s="212">
        <f t="shared" si="0"/>
        <v>190.32</v>
      </c>
      <c r="N68" s="119">
        <v>800005784</v>
      </c>
    </row>
    <row r="69" spans="1:14" s="119" customFormat="1" ht="18.75" customHeight="1">
      <c r="A69" s="293" t="s">
        <v>217</v>
      </c>
      <c r="B69" s="294" t="s">
        <v>228</v>
      </c>
      <c r="C69" s="294" t="s">
        <v>223</v>
      </c>
      <c r="D69" s="295"/>
      <c r="E69" s="208" t="str">
        <f>+VLOOKUP(B69,'[3]danh muc PERRY, YMM'!F$2625:G$2747,2,0)</f>
        <v>83/17 RECYCLED POLY/ELAS</v>
      </c>
      <c r="F69" s="209"/>
      <c r="G69" s="296"/>
      <c r="H69" s="297">
        <v>1</v>
      </c>
      <c r="I69" s="293">
        <v>4</v>
      </c>
      <c r="J69" s="293">
        <v>24</v>
      </c>
      <c r="K69" s="212">
        <f>+VLOOKUP(N69,'[4]he thong'!A$1:G$45,7,0)</f>
        <v>7.94</v>
      </c>
      <c r="L69" s="213"/>
      <c r="M69" s="212">
        <f t="shared" si="0"/>
        <v>190.56</v>
      </c>
      <c r="N69" s="119">
        <v>800005785</v>
      </c>
    </row>
    <row r="70" spans="1:14" s="119" customFormat="1" ht="18.75" customHeight="1">
      <c r="A70" s="293" t="s">
        <v>218</v>
      </c>
      <c r="B70" s="294" t="s">
        <v>222</v>
      </c>
      <c r="C70" s="294" t="s">
        <v>220</v>
      </c>
      <c r="D70" s="295"/>
      <c r="E70" s="208" t="str">
        <f>+VLOOKUP(B70,'[3]danh muc PERRY, YMM'!F$2625:G$2747,2,0)</f>
        <v>80/20 POLYAMIDE/ELASTANE</v>
      </c>
      <c r="F70" s="209"/>
      <c r="G70" s="296"/>
      <c r="H70" s="297">
        <v>4</v>
      </c>
      <c r="I70" s="293">
        <v>4</v>
      </c>
      <c r="J70" s="293">
        <v>72</v>
      </c>
      <c r="K70" s="212">
        <f>+VLOOKUP(N70,'[4]he thong'!A$1:G$45,7,0)</f>
        <v>3.76</v>
      </c>
      <c r="L70" s="213"/>
      <c r="M70" s="212">
        <f t="shared" si="0"/>
        <v>270.71999999999997</v>
      </c>
      <c r="N70" s="119">
        <v>800005786</v>
      </c>
    </row>
    <row r="71" spans="1:14" s="119" customFormat="1" ht="18.75" customHeight="1">
      <c r="A71" s="293" t="s">
        <v>218</v>
      </c>
      <c r="B71" s="294" t="s">
        <v>222</v>
      </c>
      <c r="C71" s="294" t="s">
        <v>223</v>
      </c>
      <c r="D71" s="295"/>
      <c r="E71" s="208" t="str">
        <f>+VLOOKUP(B71,'[3]danh muc PERRY, YMM'!F$2625:G$2747,2,0)</f>
        <v>80/20 POLYAMIDE/ELASTANE</v>
      </c>
      <c r="F71" s="209"/>
      <c r="G71" s="296"/>
      <c r="H71" s="297">
        <v>1</v>
      </c>
      <c r="I71" s="293">
        <v>4</v>
      </c>
      <c r="J71" s="293">
        <v>24</v>
      </c>
      <c r="K71" s="212">
        <f>+VLOOKUP(N71,'[4]he thong'!A$1:G$45,7,0)</f>
        <v>3.81</v>
      </c>
      <c r="L71" s="213"/>
      <c r="M71" s="212">
        <f t="shared" si="0"/>
        <v>91.44</v>
      </c>
      <c r="N71" s="119">
        <v>800005787</v>
      </c>
    </row>
    <row r="72" spans="1:14" s="119" customFormat="1" ht="17.25" customHeight="1">
      <c r="A72" s="201"/>
      <c r="B72" s="202"/>
      <c r="C72" s="202"/>
      <c r="D72" s="203"/>
      <c r="E72" s="208"/>
      <c r="F72" s="204"/>
      <c r="G72" s="205"/>
      <c r="H72" s="205"/>
      <c r="I72" s="201"/>
      <c r="J72" s="201"/>
      <c r="K72" s="212"/>
      <c r="L72" s="213"/>
      <c r="M72" s="212"/>
    </row>
    <row r="73" spans="1:14" s="119" customFormat="1" ht="11.1" customHeight="1">
      <c r="A73" s="160"/>
      <c r="B73" s="158"/>
      <c r="C73" s="161"/>
      <c r="D73" s="161"/>
      <c r="E73" s="162"/>
      <c r="F73" s="162"/>
      <c r="G73" s="162"/>
      <c r="H73" s="162"/>
      <c r="I73" s="162"/>
      <c r="J73" s="162"/>
      <c r="K73" s="165"/>
      <c r="L73" s="162"/>
      <c r="M73" s="164"/>
    </row>
    <row r="74" spans="1:14" s="119" customFormat="1" ht="11.1" customHeight="1">
      <c r="A74" s="157"/>
      <c r="B74" s="158"/>
      <c r="C74" s="158"/>
      <c r="D74" s="158"/>
      <c r="E74" s="159"/>
      <c r="F74" s="159"/>
      <c r="G74" s="159"/>
      <c r="H74" s="206">
        <f>SUM(H29:H73)</f>
        <v>243</v>
      </c>
      <c r="I74" s="197">
        <f>SUM(I29:I73)</f>
        <v>282</v>
      </c>
      <c r="J74" s="197">
        <f>SUM(J29:J73)</f>
        <v>6266</v>
      </c>
      <c r="K74" s="159"/>
      <c r="L74" s="159"/>
      <c r="M74" s="211">
        <f>SUM(M29:M73)</f>
        <v>26432.359999999993</v>
      </c>
    </row>
    <row r="75" spans="1:14" s="119" customFormat="1" ht="11.1" customHeight="1">
      <c r="A75" s="148"/>
      <c r="B75" s="166"/>
      <c r="C75" s="166"/>
      <c r="D75" s="166"/>
      <c r="K75" s="166"/>
      <c r="M75" s="150"/>
    </row>
    <row r="76" spans="1:14" s="119" customFormat="1" ht="11.1" customHeight="1">
      <c r="A76" s="148"/>
      <c r="B76" s="166"/>
      <c r="C76" s="166"/>
      <c r="D76" s="166"/>
      <c r="K76" s="166"/>
      <c r="M76" s="150"/>
    </row>
    <row r="77" spans="1:14" s="119" customFormat="1" ht="11.1" customHeight="1">
      <c r="A77" s="167" t="s">
        <v>144</v>
      </c>
      <c r="B77" s="168" t="str" cm="1">
        <f t="array" ref="B77">+UPPER(_xll.USD(M74))</f>
        <v>TWENTY SIX THOUSAND FOUR HUNDRED AND THIRTY TWO DOLLARS AND THIRTY SIX CENTS.</v>
      </c>
      <c r="C77" s="169"/>
      <c r="D77" s="169"/>
      <c r="E77" s="169"/>
      <c r="G77" s="149"/>
      <c r="H77" s="149"/>
      <c r="I77" s="149"/>
      <c r="J77" s="149"/>
      <c r="K77" s="149"/>
      <c r="L77" s="149"/>
      <c r="M77" s="170"/>
    </row>
    <row r="78" spans="1:14" s="119" customFormat="1" ht="11.1" customHeight="1">
      <c r="A78" s="171" t="s">
        <v>130</v>
      </c>
      <c r="B78" s="276">
        <f>+H74</f>
        <v>243</v>
      </c>
      <c r="C78" s="276"/>
      <c r="D78" s="172"/>
      <c r="E78" s="169"/>
      <c r="F78" s="168"/>
      <c r="I78" s="149"/>
      <c r="J78" s="149"/>
      <c r="K78" s="149"/>
      <c r="L78" s="149"/>
      <c r="M78" s="170"/>
    </row>
    <row r="79" spans="1:14" s="119" customFormat="1" ht="11.1" customHeight="1">
      <c r="A79" s="171"/>
      <c r="B79" s="172"/>
      <c r="C79" s="172"/>
      <c r="D79" s="172"/>
      <c r="E79" s="169"/>
      <c r="F79" s="168"/>
      <c r="I79" s="149"/>
      <c r="J79" s="149"/>
      <c r="K79" s="149"/>
      <c r="L79" s="149"/>
      <c r="M79" s="170"/>
    </row>
    <row r="80" spans="1:14" s="119" customFormat="1" ht="11.1" customHeight="1">
      <c r="A80" s="145"/>
      <c r="B80" s="169"/>
      <c r="C80" s="169"/>
      <c r="D80" s="169"/>
      <c r="E80" s="169"/>
      <c r="F80" s="169"/>
      <c r="G80" s="149"/>
      <c r="H80" s="149"/>
      <c r="I80" s="149"/>
      <c r="J80" s="149"/>
      <c r="K80" s="149"/>
      <c r="L80" s="149"/>
      <c r="M80" s="163"/>
    </row>
    <row r="81" spans="1:17" s="119" customFormat="1" ht="11.1" customHeight="1">
      <c r="A81" s="145" t="s">
        <v>131</v>
      </c>
      <c r="B81" s="125"/>
      <c r="C81" s="125"/>
      <c r="D81" s="125"/>
      <c r="E81" s="125"/>
      <c r="F81" s="125"/>
      <c r="G81" s="125"/>
      <c r="H81" s="125"/>
      <c r="I81" s="125"/>
      <c r="J81" s="126"/>
      <c r="K81" s="126"/>
      <c r="L81" s="149"/>
      <c r="M81" s="150"/>
    </row>
    <row r="82" spans="1:17" s="119" customFormat="1" ht="11.1" customHeight="1">
      <c r="A82" s="145" t="s">
        <v>132</v>
      </c>
      <c r="B82" s="125"/>
      <c r="C82" s="125"/>
      <c r="D82" s="125"/>
      <c r="E82" s="125"/>
      <c r="F82" s="125"/>
      <c r="G82" s="125"/>
      <c r="H82" s="125"/>
      <c r="I82" s="125"/>
      <c r="J82" s="126"/>
      <c r="K82" s="126"/>
      <c r="L82" s="149"/>
      <c r="M82" s="150"/>
    </row>
    <row r="83" spans="1:17" s="119" customFormat="1" ht="11.1" customHeight="1">
      <c r="A83" s="145"/>
      <c r="B83" s="125"/>
      <c r="C83" s="125"/>
      <c r="D83" s="125"/>
      <c r="E83" s="125"/>
      <c r="F83" s="125"/>
      <c r="G83" s="125"/>
      <c r="H83" s="125"/>
      <c r="I83" s="125"/>
      <c r="J83" s="126"/>
      <c r="K83" s="126"/>
      <c r="L83" s="149"/>
      <c r="M83" s="150"/>
    </row>
    <row r="84" spans="1:17" s="119" customFormat="1" ht="11.1" customHeight="1">
      <c r="A84" s="145" t="s">
        <v>133</v>
      </c>
      <c r="F84" s="139">
        <f>+F85*0.9</f>
        <v>609.72300000000007</v>
      </c>
      <c r="G84" s="119" t="s">
        <v>129</v>
      </c>
      <c r="M84" s="150"/>
    </row>
    <row r="85" spans="1:17" s="119" customFormat="1" ht="11.1" customHeight="1">
      <c r="A85" s="145" t="s">
        <v>134</v>
      </c>
      <c r="F85" s="139">
        <v>677.47</v>
      </c>
      <c r="G85" s="119" t="s">
        <v>129</v>
      </c>
      <c r="M85" s="150"/>
      <c r="P85" s="127"/>
      <c r="Q85" s="127"/>
    </row>
    <row r="86" spans="1:17" s="119" customFormat="1" ht="11.1" customHeight="1">
      <c r="A86" s="145" t="s">
        <v>135</v>
      </c>
      <c r="F86" s="139">
        <v>1010.4666666666666</v>
      </c>
      <c r="G86" s="119" t="s">
        <v>129</v>
      </c>
      <c r="M86" s="150"/>
      <c r="P86" s="127"/>
      <c r="Q86" s="127"/>
    </row>
    <row r="87" spans="1:17" s="119" customFormat="1" ht="11.1" customHeight="1">
      <c r="A87" s="145" t="s">
        <v>136</v>
      </c>
      <c r="F87" s="139">
        <v>5.3928845000000019</v>
      </c>
      <c r="G87" s="119" t="s">
        <v>137</v>
      </c>
      <c r="M87" s="150"/>
      <c r="P87" s="127">
        <f>0.18/10</f>
        <v>1.7999999999999999E-2</v>
      </c>
      <c r="Q87" s="127"/>
    </row>
    <row r="88" spans="1:17" s="119" customFormat="1" ht="11.1" customHeight="1">
      <c r="A88" s="145"/>
      <c r="F88" s="125"/>
      <c r="M88" s="150"/>
      <c r="P88" s="127"/>
      <c r="Q88" s="127"/>
    </row>
    <row r="89" spans="1:17" s="119" customFormat="1" ht="13.5" customHeight="1">
      <c r="A89" s="145" t="s">
        <v>138</v>
      </c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73"/>
      <c r="P89" s="129" t="e">
        <f>+P87*#REF!</f>
        <v>#REF!</v>
      </c>
      <c r="Q89" s="127"/>
    </row>
    <row r="90" spans="1:17" s="119" customFormat="1" ht="10.5" customHeight="1">
      <c r="A90" s="174" t="s">
        <v>139</v>
      </c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6"/>
      <c r="P90" s="127"/>
      <c r="Q90" s="127"/>
    </row>
    <row r="91" spans="1:17" s="119" customFormat="1" ht="11.1" customHeight="1">
      <c r="A91" s="177"/>
      <c r="B91" s="178"/>
      <c r="C91" s="178"/>
      <c r="D91" s="178"/>
      <c r="E91" s="178"/>
      <c r="F91" s="130"/>
      <c r="J91" s="192" t="s">
        <v>151</v>
      </c>
      <c r="K91" s="207"/>
      <c r="L91" s="188"/>
      <c r="M91" s="189"/>
      <c r="P91" s="127"/>
      <c r="Q91" s="127"/>
    </row>
    <row r="92" spans="1:17" s="119" customFormat="1" ht="11.1" customHeight="1">
      <c r="A92" s="179"/>
      <c r="B92" s="178"/>
      <c r="C92" s="178"/>
      <c r="D92" s="178"/>
      <c r="E92" s="178"/>
      <c r="F92" s="130"/>
      <c r="G92" s="131"/>
      <c r="H92" s="131"/>
      <c r="I92" s="128"/>
      <c r="J92" s="133" t="s">
        <v>140</v>
      </c>
      <c r="K92" s="298"/>
      <c r="L92" s="299"/>
      <c r="M92" s="134"/>
    </row>
    <row r="93" spans="1:17" s="119" customFormat="1" ht="11.1" customHeight="1">
      <c r="A93" s="179"/>
      <c r="B93" s="178"/>
      <c r="C93" s="178"/>
      <c r="D93" s="178"/>
      <c r="E93" s="178"/>
      <c r="F93" s="130"/>
      <c r="G93" s="131"/>
      <c r="H93" s="131"/>
      <c r="I93" s="128"/>
      <c r="J93" s="133"/>
      <c r="K93" s="298"/>
      <c r="L93" s="299"/>
      <c r="M93" s="134"/>
    </row>
    <row r="94" spans="1:17" s="128" customFormat="1" ht="11.1" customHeight="1">
      <c r="A94" s="145"/>
      <c r="B94" s="119"/>
      <c r="C94" s="119"/>
      <c r="D94" s="119"/>
      <c r="E94" s="119"/>
      <c r="F94" s="119"/>
      <c r="G94" s="149"/>
      <c r="H94" s="149"/>
      <c r="I94" s="119"/>
      <c r="J94" s="142"/>
      <c r="K94" s="300"/>
      <c r="L94" s="300"/>
      <c r="M94" s="134"/>
    </row>
    <row r="95" spans="1:17" s="128" customFormat="1" ht="11.1" customHeight="1">
      <c r="A95" s="145"/>
      <c r="B95" s="119"/>
      <c r="C95" s="119"/>
      <c r="D95" s="119"/>
      <c r="E95" s="119"/>
      <c r="F95" s="119"/>
      <c r="G95" s="149"/>
      <c r="H95" s="149"/>
      <c r="I95" s="119"/>
      <c r="J95" s="142"/>
      <c r="K95" s="300"/>
      <c r="L95" s="300"/>
      <c r="M95" s="134"/>
    </row>
    <row r="96" spans="1:17" s="128" customFormat="1" ht="11.1" customHeight="1">
      <c r="A96" s="145"/>
      <c r="B96" s="119"/>
      <c r="C96" s="119"/>
      <c r="D96" s="119"/>
      <c r="E96" s="119"/>
      <c r="F96" s="119"/>
      <c r="G96" s="149"/>
      <c r="H96" s="149"/>
      <c r="I96" s="119"/>
      <c r="J96" s="142"/>
      <c r="K96" s="300"/>
      <c r="L96" s="300"/>
      <c r="M96" s="134"/>
    </row>
    <row r="97" spans="1:13" s="128" customFormat="1" ht="11.1" customHeight="1" thickBot="1">
      <c r="A97" s="180" t="s">
        <v>141</v>
      </c>
      <c r="B97" s="181"/>
      <c r="C97" s="181"/>
      <c r="D97" s="181"/>
      <c r="E97" s="181"/>
      <c r="F97" s="181"/>
      <c r="G97" s="181"/>
      <c r="H97" s="181"/>
      <c r="I97" s="181"/>
      <c r="J97" s="301"/>
      <c r="K97" s="302"/>
      <c r="L97" s="303"/>
      <c r="M97" s="304"/>
    </row>
    <row r="98" spans="1:13" ht="12" customHeight="1"/>
    <row r="99" spans="1:13" ht="12" customHeight="1"/>
    <row r="100" spans="1:13" ht="12.95" customHeight="1"/>
    <row r="101" spans="1:13" ht="12.95" customHeight="1"/>
    <row r="102" spans="1:13" ht="12.95" customHeight="1"/>
    <row r="103" spans="1:13" ht="12.95" customHeight="1"/>
    <row r="104" spans="1:13" ht="12.95" customHeight="1"/>
    <row r="105" spans="1:13" ht="12.95" customHeight="1"/>
    <row r="106" spans="1:13" ht="12.95" customHeight="1"/>
    <row r="107" spans="1:13" ht="12.95" customHeight="1"/>
    <row r="108" spans="1:13" ht="12.95" customHeight="1"/>
    <row r="109" spans="1:13" ht="12.95" customHeight="1"/>
    <row r="110" spans="1:13" ht="12.95" customHeight="1"/>
    <row r="111" spans="1:13" ht="12.95" customHeight="1"/>
    <row r="112" spans="1:13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</sheetData>
  <sheetProtection selectLockedCells="1" selectUnlockedCells="1"/>
  <autoFilter ref="A25:P82" xr:uid="{ADF13946-6076-48F8-B410-1D2429A45355}">
    <filterColumn colId="4" showButton="0"/>
    <filterColumn colId="5" showButton="0"/>
  </autoFilter>
  <mergeCells count="6">
    <mergeCell ref="B78:C78"/>
    <mergeCell ref="A1:M1"/>
    <mergeCell ref="Q24:AB24"/>
    <mergeCell ref="E25:G25"/>
    <mergeCell ref="A26:M26"/>
    <mergeCell ref="A27:M27"/>
  </mergeCells>
  <printOptions horizontalCentered="1"/>
  <pageMargins left="0.39027777800000002" right="0.27013888899999999" top="0.7" bottom="0.65" header="0.51180555555555596" footer="0.51180555555555596"/>
  <pageSetup paperSize="9" scale="73" firstPageNumber="0" fitToHeight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1575-DB2A-49D5-BAF2-66E82DCCF647}">
  <sheetPr>
    <tabColor theme="0" tint="-0.14999847407452621"/>
    <pageSetUpPr fitToPage="1"/>
  </sheetPr>
  <dimension ref="A1:HW25"/>
  <sheetViews>
    <sheetView view="pageBreakPreview" topLeftCell="A9" zoomScale="60" zoomScaleNormal="80" workbookViewId="0">
      <selection activeCell="G13" sqref="G13"/>
    </sheetView>
  </sheetViews>
  <sheetFormatPr defaultColWidth="9" defaultRowHeight="15"/>
  <cols>
    <col min="1" max="1" width="17" style="313" customWidth="1"/>
    <col min="2" max="2" width="29.5" style="313" customWidth="1"/>
    <col min="3" max="3" width="15.25" style="313" customWidth="1"/>
    <col min="4" max="5" width="11.375" style="313" customWidth="1"/>
    <col min="6" max="6" width="15" style="313" customWidth="1"/>
    <col min="7" max="7" width="13.625" style="313" customWidth="1"/>
    <col min="8" max="11" width="13.625" style="344" customWidth="1"/>
    <col min="12" max="12" width="13.375" style="345" customWidth="1"/>
    <col min="13" max="13" width="11.25" style="344" customWidth="1"/>
    <col min="14" max="14" width="10.25" style="313" customWidth="1"/>
    <col min="15" max="15" width="27.125" style="313" customWidth="1"/>
    <col min="16" max="16384" width="9" style="313"/>
  </cols>
  <sheetData>
    <row r="1" spans="1:231" s="308" customFormat="1" ht="21.75" customHeight="1">
      <c r="A1" s="31" t="s">
        <v>151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2" spans="1:231" s="308" customFormat="1" ht="22.5" customHeight="1">
      <c r="A2" s="14" t="s">
        <v>152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10"/>
      <c r="BO2" s="310"/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10"/>
      <c r="CB2" s="310"/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10"/>
      <c r="CO2" s="310"/>
      <c r="CP2" s="310"/>
      <c r="CQ2" s="310"/>
      <c r="CR2" s="310"/>
      <c r="CS2" s="310"/>
      <c r="CT2" s="310"/>
      <c r="CU2" s="310"/>
      <c r="CV2" s="310"/>
      <c r="CW2" s="310"/>
      <c r="CX2" s="310"/>
      <c r="CY2" s="310"/>
      <c r="CZ2" s="310"/>
      <c r="DA2" s="310"/>
      <c r="DB2" s="310"/>
      <c r="DC2" s="310"/>
      <c r="DD2" s="310"/>
      <c r="DE2" s="310"/>
      <c r="DF2" s="310"/>
      <c r="DG2" s="310"/>
      <c r="DH2" s="310"/>
      <c r="DI2" s="310"/>
      <c r="DJ2" s="310"/>
      <c r="DK2" s="310"/>
      <c r="DL2" s="310"/>
      <c r="DM2" s="310"/>
      <c r="DN2" s="310"/>
      <c r="DO2" s="310"/>
      <c r="DP2" s="310"/>
      <c r="DQ2" s="310"/>
      <c r="DR2" s="310"/>
      <c r="DS2" s="310"/>
      <c r="DT2" s="310"/>
      <c r="DU2" s="310"/>
      <c r="DV2" s="310"/>
      <c r="DW2" s="310"/>
      <c r="DX2" s="310"/>
      <c r="DY2" s="310"/>
      <c r="DZ2" s="310"/>
      <c r="EA2" s="310"/>
      <c r="EB2" s="310"/>
      <c r="EC2" s="310"/>
      <c r="ED2" s="310"/>
      <c r="EE2" s="310"/>
      <c r="EF2" s="310"/>
      <c r="EG2" s="310"/>
      <c r="EH2" s="310"/>
      <c r="EI2" s="310"/>
      <c r="EJ2" s="310"/>
      <c r="EK2" s="310"/>
      <c r="EL2" s="310"/>
      <c r="EM2" s="310"/>
      <c r="EN2" s="310"/>
      <c r="EO2" s="310"/>
      <c r="EP2" s="310"/>
      <c r="EQ2" s="310"/>
      <c r="ER2" s="310"/>
      <c r="ES2" s="310"/>
      <c r="ET2" s="310"/>
      <c r="EU2" s="310"/>
      <c r="EV2" s="310"/>
      <c r="EW2" s="310"/>
      <c r="EX2" s="310"/>
      <c r="EY2" s="310"/>
      <c r="EZ2" s="310"/>
      <c r="FA2" s="310"/>
      <c r="FB2" s="310"/>
      <c r="FC2" s="310"/>
      <c r="FD2" s="310"/>
      <c r="FE2" s="310"/>
      <c r="FF2" s="310"/>
      <c r="FG2" s="310"/>
      <c r="FH2" s="310"/>
      <c r="FI2" s="310"/>
      <c r="FJ2" s="310"/>
      <c r="FK2" s="310"/>
      <c r="FL2" s="310"/>
      <c r="FM2" s="310"/>
      <c r="FN2" s="310"/>
      <c r="FO2" s="310"/>
      <c r="FP2" s="310"/>
      <c r="FQ2" s="310"/>
      <c r="FR2" s="310"/>
      <c r="FS2" s="310"/>
      <c r="FT2" s="310"/>
      <c r="FU2" s="310"/>
      <c r="FV2" s="310"/>
      <c r="FW2" s="310"/>
      <c r="FX2" s="310"/>
      <c r="FY2" s="310"/>
      <c r="FZ2" s="310"/>
      <c r="GA2" s="310"/>
      <c r="GB2" s="310"/>
      <c r="GC2" s="310"/>
      <c r="GD2" s="310"/>
      <c r="GE2" s="310"/>
      <c r="GF2" s="310"/>
      <c r="GG2" s="310"/>
      <c r="GH2" s="310"/>
      <c r="GI2" s="310"/>
      <c r="GJ2" s="310"/>
      <c r="GK2" s="310"/>
      <c r="GL2" s="310"/>
      <c r="GM2" s="310"/>
      <c r="GN2" s="310"/>
      <c r="GO2" s="310"/>
      <c r="GP2" s="310"/>
      <c r="GQ2" s="310"/>
      <c r="GR2" s="310"/>
      <c r="GS2" s="310"/>
      <c r="GT2" s="310"/>
      <c r="GU2" s="310"/>
      <c r="GV2" s="310"/>
      <c r="GW2" s="310"/>
      <c r="GX2" s="310"/>
      <c r="GY2" s="310"/>
      <c r="GZ2" s="310"/>
      <c r="HA2" s="310"/>
      <c r="HB2" s="310"/>
      <c r="HC2" s="310"/>
      <c r="HD2" s="310"/>
      <c r="HE2" s="310"/>
      <c r="HF2" s="310"/>
      <c r="HG2" s="310"/>
      <c r="HH2" s="310"/>
      <c r="HI2" s="310"/>
      <c r="HJ2" s="310"/>
      <c r="HK2" s="310"/>
      <c r="HL2" s="310"/>
      <c r="HM2" s="310"/>
      <c r="HN2" s="310"/>
      <c r="HO2" s="310"/>
      <c r="HP2" s="310"/>
      <c r="HQ2" s="310"/>
      <c r="HR2" s="310"/>
      <c r="HS2" s="310"/>
      <c r="HT2" s="310"/>
      <c r="HU2" s="310"/>
    </row>
    <row r="3" spans="1:231" ht="23.25" customHeight="1">
      <c r="A3" s="14" t="s">
        <v>153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2"/>
      <c r="AR3" s="312"/>
      <c r="AS3" s="312"/>
      <c r="AT3" s="312"/>
      <c r="AU3" s="312"/>
      <c r="AV3" s="312"/>
      <c r="AW3" s="312"/>
      <c r="AX3" s="312"/>
      <c r="AY3" s="312"/>
      <c r="AZ3" s="312"/>
      <c r="BA3" s="312"/>
      <c r="BB3" s="312"/>
      <c r="BC3" s="312"/>
      <c r="BD3" s="312"/>
      <c r="BE3" s="312"/>
      <c r="BF3" s="312"/>
      <c r="BG3" s="312"/>
      <c r="BH3" s="312"/>
      <c r="BI3" s="312"/>
      <c r="BJ3" s="312"/>
      <c r="BK3" s="312"/>
      <c r="BL3" s="312"/>
      <c r="BM3" s="312"/>
      <c r="BN3" s="312"/>
      <c r="BO3" s="312"/>
      <c r="BP3" s="312"/>
      <c r="BQ3" s="312"/>
      <c r="BR3" s="312"/>
      <c r="BS3" s="312"/>
      <c r="BT3" s="312"/>
      <c r="BU3" s="312"/>
      <c r="BV3" s="312"/>
      <c r="BW3" s="312"/>
      <c r="BX3" s="312"/>
      <c r="BY3" s="312"/>
      <c r="BZ3" s="312"/>
      <c r="CA3" s="312"/>
      <c r="CB3" s="312"/>
      <c r="CC3" s="312"/>
      <c r="CD3" s="312"/>
      <c r="CE3" s="312"/>
      <c r="CF3" s="312"/>
      <c r="CG3" s="312"/>
      <c r="CH3" s="312"/>
      <c r="CI3" s="312"/>
      <c r="CJ3" s="312"/>
      <c r="CK3" s="312"/>
      <c r="CL3" s="312"/>
      <c r="CM3" s="312"/>
      <c r="CN3" s="312"/>
      <c r="CO3" s="312"/>
      <c r="CP3" s="312"/>
      <c r="CQ3" s="312"/>
      <c r="CR3" s="312"/>
      <c r="CS3" s="312"/>
      <c r="CT3" s="312"/>
      <c r="CU3" s="312"/>
      <c r="CV3" s="312"/>
      <c r="CW3" s="312"/>
      <c r="CX3" s="312"/>
      <c r="CY3" s="312"/>
      <c r="CZ3" s="312"/>
      <c r="DA3" s="312"/>
      <c r="DB3" s="312"/>
      <c r="DC3" s="312"/>
      <c r="DD3" s="312"/>
      <c r="DE3" s="312"/>
      <c r="DF3" s="312"/>
      <c r="DG3" s="312"/>
      <c r="DH3" s="312"/>
      <c r="DI3" s="312"/>
      <c r="DJ3" s="312"/>
      <c r="DK3" s="312"/>
      <c r="DL3" s="312"/>
      <c r="DM3" s="312"/>
      <c r="DN3" s="312"/>
      <c r="DO3" s="312"/>
      <c r="DP3" s="312"/>
      <c r="DQ3" s="312"/>
      <c r="DR3" s="312"/>
      <c r="DS3" s="312"/>
      <c r="DT3" s="312"/>
      <c r="DU3" s="312"/>
      <c r="DV3" s="312"/>
      <c r="DW3" s="312"/>
      <c r="DX3" s="312"/>
      <c r="DY3" s="312"/>
      <c r="DZ3" s="312"/>
      <c r="EA3" s="312"/>
      <c r="EB3" s="312"/>
      <c r="EC3" s="312"/>
      <c r="ED3" s="312"/>
      <c r="EE3" s="312"/>
      <c r="EF3" s="312"/>
      <c r="EG3" s="312"/>
      <c r="EH3" s="312"/>
      <c r="EI3" s="312"/>
      <c r="EJ3" s="312"/>
      <c r="EK3" s="312"/>
      <c r="EL3" s="312"/>
      <c r="EM3" s="312"/>
      <c r="EN3" s="312"/>
      <c r="EO3" s="312"/>
      <c r="EP3" s="312"/>
      <c r="EQ3" s="312"/>
      <c r="ER3" s="312"/>
      <c r="ES3" s="312"/>
      <c r="ET3" s="312"/>
      <c r="EU3" s="312"/>
      <c r="EV3" s="312"/>
      <c r="EW3" s="312"/>
      <c r="EX3" s="312"/>
      <c r="EY3" s="312"/>
      <c r="EZ3" s="312"/>
      <c r="FA3" s="312"/>
      <c r="FB3" s="312"/>
      <c r="FC3" s="312"/>
      <c r="FD3" s="312"/>
      <c r="FE3" s="312"/>
      <c r="FF3" s="312"/>
      <c r="FG3" s="312"/>
      <c r="FH3" s="312"/>
      <c r="FI3" s="312"/>
      <c r="FJ3" s="312"/>
      <c r="FK3" s="312"/>
      <c r="FL3" s="312"/>
      <c r="FM3" s="312"/>
      <c r="FN3" s="312"/>
      <c r="FO3" s="312"/>
      <c r="FP3" s="312"/>
      <c r="FQ3" s="312"/>
      <c r="FR3" s="312"/>
      <c r="FS3" s="312"/>
      <c r="FT3" s="312"/>
      <c r="FU3" s="312"/>
      <c r="FV3" s="312"/>
      <c r="FW3" s="312"/>
      <c r="FX3" s="312"/>
      <c r="FY3" s="312"/>
      <c r="FZ3" s="312"/>
      <c r="GA3" s="312"/>
      <c r="GB3" s="312"/>
      <c r="GC3" s="312"/>
      <c r="GD3" s="312"/>
      <c r="GE3" s="312"/>
      <c r="GF3" s="312"/>
      <c r="GG3" s="312"/>
      <c r="GH3" s="312"/>
      <c r="GI3" s="312"/>
      <c r="GJ3" s="312"/>
      <c r="GK3" s="312"/>
      <c r="GL3" s="312"/>
      <c r="GM3" s="312"/>
      <c r="GN3" s="312"/>
      <c r="GO3" s="312"/>
      <c r="GP3" s="312"/>
      <c r="GQ3" s="312"/>
      <c r="GR3" s="312"/>
      <c r="GS3" s="312"/>
      <c r="GT3" s="312"/>
      <c r="GU3" s="312"/>
      <c r="GV3" s="312"/>
      <c r="GW3" s="312"/>
      <c r="GX3" s="312"/>
      <c r="GY3" s="312"/>
      <c r="GZ3" s="312"/>
      <c r="HA3" s="312"/>
      <c r="HB3" s="312"/>
      <c r="HC3" s="312"/>
      <c r="HD3" s="312"/>
      <c r="HE3" s="312"/>
      <c r="HF3" s="312"/>
      <c r="HG3" s="312"/>
      <c r="HH3" s="312"/>
      <c r="HI3" s="312"/>
      <c r="HJ3" s="312"/>
      <c r="HK3" s="312"/>
      <c r="HL3" s="312"/>
      <c r="HM3" s="312"/>
      <c r="HN3" s="312"/>
      <c r="HO3" s="312"/>
      <c r="HP3" s="312"/>
      <c r="HQ3" s="312"/>
      <c r="HR3" s="312"/>
      <c r="HS3" s="312"/>
      <c r="HT3" s="312"/>
      <c r="HU3" s="312"/>
    </row>
    <row r="4" spans="1:231" s="315" customFormat="1" ht="23.25" customHeight="1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</row>
    <row r="5" spans="1:231" s="315" customFormat="1" ht="23.25" customHeight="1">
      <c r="A5" s="316" t="s">
        <v>233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6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  <c r="BE5" s="316"/>
      <c r="BF5" s="316"/>
      <c r="BG5" s="316"/>
      <c r="BH5" s="316"/>
      <c r="BI5" s="316"/>
      <c r="BJ5" s="316"/>
      <c r="BK5" s="316"/>
      <c r="BL5" s="316"/>
      <c r="BM5" s="316"/>
      <c r="BN5" s="316"/>
      <c r="BO5" s="316"/>
      <c r="BP5" s="316"/>
      <c r="BQ5" s="316"/>
      <c r="BR5" s="316"/>
      <c r="BS5" s="316"/>
      <c r="BT5" s="316"/>
      <c r="BU5" s="316"/>
      <c r="BV5" s="316"/>
      <c r="BW5" s="316"/>
      <c r="BX5" s="316"/>
      <c r="BY5" s="316"/>
      <c r="BZ5" s="316"/>
      <c r="CA5" s="316"/>
      <c r="CB5" s="316"/>
      <c r="CC5" s="316"/>
      <c r="CD5" s="316"/>
      <c r="CE5" s="316"/>
      <c r="CF5" s="316"/>
      <c r="CG5" s="316"/>
      <c r="CH5" s="316"/>
      <c r="CI5" s="316"/>
      <c r="CJ5" s="316"/>
      <c r="CK5" s="316"/>
      <c r="CL5" s="316"/>
      <c r="CM5" s="316"/>
      <c r="CN5" s="316"/>
      <c r="CO5" s="316"/>
      <c r="CP5" s="316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J5" s="316"/>
      <c r="FK5" s="316"/>
      <c r="FL5" s="316"/>
      <c r="FM5" s="316"/>
      <c r="FN5" s="316"/>
      <c r="FO5" s="316"/>
      <c r="FP5" s="316"/>
      <c r="FQ5" s="316"/>
      <c r="FR5" s="316"/>
      <c r="FS5" s="316"/>
      <c r="FT5" s="316"/>
      <c r="FU5" s="316"/>
      <c r="FV5" s="316"/>
      <c r="FW5" s="316"/>
      <c r="FX5" s="316"/>
      <c r="FY5" s="316"/>
      <c r="FZ5" s="316"/>
      <c r="GA5" s="316"/>
      <c r="GB5" s="316"/>
      <c r="GC5" s="316"/>
      <c r="GD5" s="316"/>
      <c r="GE5" s="316"/>
      <c r="GF5" s="316"/>
      <c r="GG5" s="316"/>
      <c r="GH5" s="316"/>
      <c r="GI5" s="316"/>
      <c r="GJ5" s="316"/>
      <c r="GK5" s="316"/>
      <c r="GL5" s="316"/>
      <c r="GM5" s="316"/>
      <c r="GN5" s="316"/>
      <c r="GO5" s="316"/>
      <c r="GP5" s="316"/>
      <c r="GQ5" s="316"/>
      <c r="GR5" s="316"/>
      <c r="GS5" s="316"/>
      <c r="GT5" s="316"/>
      <c r="GU5" s="316"/>
      <c r="GV5" s="316"/>
      <c r="GW5" s="316"/>
      <c r="GX5" s="316"/>
      <c r="GY5" s="316"/>
      <c r="GZ5" s="316"/>
      <c r="HA5" s="316"/>
      <c r="HB5" s="316"/>
      <c r="HC5" s="316"/>
      <c r="HD5" s="316"/>
      <c r="HE5" s="316"/>
      <c r="HF5" s="316"/>
      <c r="HG5" s="316"/>
      <c r="HH5" s="316"/>
      <c r="HI5" s="316"/>
      <c r="HJ5" s="316"/>
      <c r="HK5" s="316"/>
      <c r="HL5" s="316"/>
      <c r="HM5" s="316"/>
      <c r="HN5" s="316"/>
      <c r="HO5" s="316"/>
      <c r="HP5" s="316"/>
      <c r="HQ5" s="316"/>
      <c r="HR5" s="316"/>
      <c r="HS5" s="316"/>
      <c r="HT5" s="316"/>
      <c r="HU5" s="316"/>
      <c r="HV5" s="316"/>
      <c r="HW5" s="316"/>
    </row>
    <row r="6" spans="1:231" s="317" customFormat="1" ht="30.75" customHeight="1">
      <c r="A6" s="318" t="s">
        <v>234</v>
      </c>
      <c r="B6" s="319" t="s">
        <v>205</v>
      </c>
      <c r="H6" s="320"/>
      <c r="I6" s="320"/>
      <c r="J6" s="320"/>
      <c r="K6" s="320"/>
      <c r="L6" s="321"/>
      <c r="M6" s="320"/>
    </row>
    <row r="7" spans="1:231" s="317" customFormat="1" ht="30.75" customHeight="1">
      <c r="A7" s="318" t="s">
        <v>235</v>
      </c>
      <c r="B7" s="322">
        <f>+L24</f>
        <v>11</v>
      </c>
      <c r="H7" s="320"/>
      <c r="I7" s="320"/>
      <c r="J7" s="320"/>
      <c r="K7" s="320"/>
      <c r="L7" s="321"/>
      <c r="M7" s="320"/>
    </row>
    <row r="8" spans="1:231" s="317" customFormat="1" ht="30.75" customHeight="1">
      <c r="A8" s="323"/>
      <c r="B8" s="322"/>
      <c r="H8" s="320"/>
      <c r="I8" s="320"/>
      <c r="J8" s="320"/>
      <c r="K8" s="320"/>
      <c r="L8" s="321"/>
      <c r="M8" s="320"/>
    </row>
    <row r="9" spans="1:231" s="317" customFormat="1" ht="30.75" customHeight="1">
      <c r="A9" s="324" t="s">
        <v>236</v>
      </c>
      <c r="B9" s="324" t="s">
        <v>237</v>
      </c>
      <c r="C9" s="324" t="s">
        <v>238</v>
      </c>
      <c r="D9" s="325" t="s">
        <v>239</v>
      </c>
      <c r="E9" s="326"/>
      <c r="F9" s="324" t="s">
        <v>26</v>
      </c>
      <c r="G9" s="324" t="s">
        <v>59</v>
      </c>
      <c r="H9" s="327" t="s">
        <v>27</v>
      </c>
      <c r="I9" s="328" t="s">
        <v>28</v>
      </c>
      <c r="J9" s="328" t="s">
        <v>29</v>
      </c>
      <c r="K9" s="328" t="s">
        <v>30</v>
      </c>
      <c r="L9" s="329" t="s">
        <v>31</v>
      </c>
      <c r="M9" s="329" t="s">
        <v>32</v>
      </c>
      <c r="N9" s="330" t="s">
        <v>186</v>
      </c>
      <c r="O9" s="330" t="s">
        <v>240</v>
      </c>
    </row>
    <row r="10" spans="1:231" s="338" customFormat="1" ht="30.75" customHeight="1">
      <c r="A10" s="331" t="s">
        <v>219</v>
      </c>
      <c r="B10" s="331" t="s">
        <v>231</v>
      </c>
      <c r="C10" s="331" t="s">
        <v>232</v>
      </c>
      <c r="D10" s="331">
        <v>1</v>
      </c>
      <c r="E10" s="331">
        <v>1</v>
      </c>
      <c r="F10" s="332">
        <v>5</v>
      </c>
      <c r="G10" s="332">
        <v>5</v>
      </c>
      <c r="H10" s="332"/>
      <c r="I10" s="332"/>
      <c r="J10" s="332"/>
      <c r="K10" s="332"/>
      <c r="L10" s="333">
        <v>1</v>
      </c>
      <c r="M10" s="334">
        <v>5</v>
      </c>
      <c r="N10" s="369">
        <v>0.84</v>
      </c>
      <c r="O10" s="335" t="s">
        <v>269</v>
      </c>
      <c r="P10" s="336">
        <v>9</v>
      </c>
      <c r="Q10" s="337">
        <v>9</v>
      </c>
      <c r="R10" s="337">
        <v>3</v>
      </c>
      <c r="S10" s="338">
        <f>+P10*2.54</f>
        <v>22.86</v>
      </c>
      <c r="T10" s="338">
        <f t="shared" ref="T10:U22" si="0">+Q10*2.54</f>
        <v>22.86</v>
      </c>
      <c r="U10" s="338">
        <f t="shared" si="0"/>
        <v>7.62</v>
      </c>
      <c r="V10" s="338" t="str">
        <f>S10&amp;"*"&amp;T10&amp;"*"&amp;U10</f>
        <v>22.86*22.86*7.62</v>
      </c>
    </row>
    <row r="11" spans="1:231" s="338" customFormat="1" ht="30.75" customHeight="1">
      <c r="A11" s="331" t="s">
        <v>219</v>
      </c>
      <c r="B11" s="331" t="s">
        <v>231</v>
      </c>
      <c r="C11" s="331" t="s">
        <v>232</v>
      </c>
      <c r="D11" s="331">
        <v>2</v>
      </c>
      <c r="E11" s="331">
        <v>2</v>
      </c>
      <c r="F11" s="332">
        <v>27</v>
      </c>
      <c r="G11" s="332"/>
      <c r="H11" s="332">
        <v>27</v>
      </c>
      <c r="I11" s="332"/>
      <c r="J11" s="332"/>
      <c r="K11" s="332"/>
      <c r="L11" s="333">
        <v>1</v>
      </c>
      <c r="M11" s="334">
        <v>27</v>
      </c>
      <c r="N11" s="369">
        <v>2.76</v>
      </c>
      <c r="O11" s="335" t="s">
        <v>269</v>
      </c>
      <c r="P11" s="336">
        <v>16</v>
      </c>
      <c r="Q11" s="337">
        <v>15.5</v>
      </c>
      <c r="R11" s="337">
        <v>4</v>
      </c>
      <c r="S11" s="338">
        <f t="shared" ref="S11:S22" si="1">+P11*2.54</f>
        <v>40.64</v>
      </c>
      <c r="T11" s="338">
        <f t="shared" si="0"/>
        <v>39.369999999999997</v>
      </c>
      <c r="U11" s="338">
        <f t="shared" si="0"/>
        <v>10.16</v>
      </c>
      <c r="V11" s="338" t="str">
        <f t="shared" ref="V11:V22" si="2">S11&amp;"*"&amp;T11&amp;"*"&amp;U11</f>
        <v>40.64*39.37*10.16</v>
      </c>
    </row>
    <row r="12" spans="1:231" s="338" customFormat="1" ht="30.75" customHeight="1">
      <c r="A12" s="331" t="s">
        <v>219</v>
      </c>
      <c r="B12" s="331" t="s">
        <v>231</v>
      </c>
      <c r="C12" s="331" t="s">
        <v>232</v>
      </c>
      <c r="D12" s="331">
        <v>3</v>
      </c>
      <c r="E12" s="331">
        <v>3</v>
      </c>
      <c r="F12" s="332">
        <v>35</v>
      </c>
      <c r="G12" s="332"/>
      <c r="H12" s="332"/>
      <c r="I12" s="332">
        <v>35</v>
      </c>
      <c r="J12" s="332"/>
      <c r="K12" s="332"/>
      <c r="L12" s="333">
        <v>1</v>
      </c>
      <c r="M12" s="334">
        <v>35</v>
      </c>
      <c r="N12" s="369">
        <v>3.84</v>
      </c>
      <c r="O12" s="335" t="s">
        <v>269</v>
      </c>
      <c r="P12" s="336">
        <v>16</v>
      </c>
      <c r="Q12" s="337">
        <v>15</v>
      </c>
      <c r="R12" s="337">
        <v>4.5</v>
      </c>
      <c r="S12" s="338">
        <f t="shared" si="1"/>
        <v>40.64</v>
      </c>
      <c r="T12" s="338">
        <f t="shared" si="0"/>
        <v>38.1</v>
      </c>
      <c r="U12" s="338">
        <f t="shared" si="0"/>
        <v>11.43</v>
      </c>
      <c r="V12" s="338" t="str">
        <f t="shared" si="2"/>
        <v>40.64*38.1*11.43</v>
      </c>
    </row>
    <row r="13" spans="1:231" s="338" customFormat="1" ht="30.75" customHeight="1">
      <c r="A13" s="331" t="s">
        <v>219</v>
      </c>
      <c r="B13" s="331" t="s">
        <v>231</v>
      </c>
      <c r="C13" s="331" t="s">
        <v>232</v>
      </c>
      <c r="D13" s="331">
        <v>4</v>
      </c>
      <c r="E13" s="331">
        <v>4</v>
      </c>
      <c r="F13" s="332">
        <v>33</v>
      </c>
      <c r="G13" s="332"/>
      <c r="H13" s="332"/>
      <c r="I13" s="332"/>
      <c r="J13" s="332">
        <v>33</v>
      </c>
      <c r="K13" s="332"/>
      <c r="L13" s="333">
        <v>1</v>
      </c>
      <c r="M13" s="334">
        <v>33</v>
      </c>
      <c r="N13" s="369">
        <v>4.1100000000000003</v>
      </c>
      <c r="O13" s="335" t="s">
        <v>270</v>
      </c>
      <c r="P13" s="336">
        <v>16</v>
      </c>
      <c r="Q13" s="337">
        <v>15</v>
      </c>
      <c r="R13" s="337">
        <v>5.5</v>
      </c>
      <c r="S13" s="338">
        <f t="shared" si="1"/>
        <v>40.64</v>
      </c>
      <c r="T13" s="338">
        <f t="shared" si="0"/>
        <v>38.1</v>
      </c>
      <c r="U13" s="338">
        <f t="shared" si="0"/>
        <v>13.97</v>
      </c>
      <c r="V13" s="338" t="str">
        <f t="shared" si="2"/>
        <v>40.64*38.1*13.97</v>
      </c>
    </row>
    <row r="14" spans="1:231" s="338" customFormat="1" ht="30.75" customHeight="1">
      <c r="A14" s="331"/>
      <c r="B14" s="331"/>
      <c r="C14" s="331"/>
      <c r="D14" s="331"/>
      <c r="E14" s="331"/>
      <c r="F14" s="332"/>
      <c r="G14" s="332"/>
      <c r="H14" s="332"/>
      <c r="I14" s="332"/>
      <c r="J14" s="332"/>
      <c r="K14" s="332"/>
      <c r="L14" s="339">
        <v>4</v>
      </c>
      <c r="M14" s="377">
        <v>100</v>
      </c>
      <c r="N14" s="378">
        <v>11.55</v>
      </c>
      <c r="O14" s="335"/>
      <c r="P14" s="336"/>
      <c r="Q14" s="337"/>
      <c r="R14" s="337"/>
      <c r="S14" s="338">
        <f t="shared" si="1"/>
        <v>0</v>
      </c>
      <c r="T14" s="338">
        <f t="shared" si="0"/>
        <v>0</v>
      </c>
      <c r="U14" s="338">
        <f t="shared" si="0"/>
        <v>0</v>
      </c>
      <c r="V14" s="338" t="str">
        <f t="shared" si="2"/>
        <v>0*0*0</v>
      </c>
    </row>
    <row r="15" spans="1:231" s="338" customFormat="1" ht="30.75" customHeight="1">
      <c r="A15" s="331" t="s">
        <v>221</v>
      </c>
      <c r="B15" s="331" t="s">
        <v>231</v>
      </c>
      <c r="C15" s="331" t="s">
        <v>232</v>
      </c>
      <c r="D15" s="331">
        <v>5</v>
      </c>
      <c r="E15" s="331">
        <v>5</v>
      </c>
      <c r="F15" s="332">
        <v>36</v>
      </c>
      <c r="G15" s="332"/>
      <c r="H15" s="332">
        <v>36</v>
      </c>
      <c r="I15" s="332"/>
      <c r="J15" s="332"/>
      <c r="K15" s="332"/>
      <c r="L15" s="333">
        <v>1</v>
      </c>
      <c r="M15" s="334">
        <v>36</v>
      </c>
      <c r="N15" s="369">
        <v>3.9</v>
      </c>
      <c r="O15" s="335" t="s">
        <v>269</v>
      </c>
      <c r="P15" s="336">
        <v>16</v>
      </c>
      <c r="Q15" s="337">
        <v>15</v>
      </c>
      <c r="R15" s="337">
        <v>7.5</v>
      </c>
      <c r="S15" s="338">
        <f t="shared" si="1"/>
        <v>40.64</v>
      </c>
      <c r="T15" s="338">
        <f t="shared" si="0"/>
        <v>38.1</v>
      </c>
      <c r="U15" s="338">
        <f t="shared" si="0"/>
        <v>19.05</v>
      </c>
      <c r="V15" s="338" t="str">
        <f t="shared" si="2"/>
        <v>40.64*38.1*19.05</v>
      </c>
    </row>
    <row r="16" spans="1:231" s="338" customFormat="1" ht="30.75" customHeight="1">
      <c r="A16" s="331" t="s">
        <v>221</v>
      </c>
      <c r="B16" s="331" t="s">
        <v>231</v>
      </c>
      <c r="C16" s="331" t="s">
        <v>232</v>
      </c>
      <c r="D16" s="331">
        <v>6</v>
      </c>
      <c r="E16" s="331">
        <v>6</v>
      </c>
      <c r="F16" s="332">
        <v>36</v>
      </c>
      <c r="G16" s="332"/>
      <c r="H16" s="332"/>
      <c r="I16" s="332">
        <v>36</v>
      </c>
      <c r="J16" s="332"/>
      <c r="K16" s="332"/>
      <c r="L16" s="333">
        <v>1</v>
      </c>
      <c r="M16" s="334">
        <v>36</v>
      </c>
      <c r="N16" s="369">
        <v>4.1399999999999997</v>
      </c>
      <c r="O16" s="335" t="s">
        <v>269</v>
      </c>
      <c r="P16" s="336">
        <v>16</v>
      </c>
      <c r="Q16" s="337">
        <v>15</v>
      </c>
      <c r="R16" s="337">
        <v>7.5</v>
      </c>
      <c r="S16" s="338">
        <f t="shared" si="1"/>
        <v>40.64</v>
      </c>
      <c r="T16" s="338">
        <f t="shared" si="0"/>
        <v>38.1</v>
      </c>
      <c r="U16" s="338">
        <f t="shared" si="0"/>
        <v>19.05</v>
      </c>
      <c r="V16" s="338" t="str">
        <f t="shared" si="2"/>
        <v>40.64*38.1*19.05</v>
      </c>
    </row>
    <row r="17" spans="1:22" s="338" customFormat="1" ht="30.75" customHeight="1">
      <c r="A17" s="331" t="s">
        <v>221</v>
      </c>
      <c r="B17" s="331" t="s">
        <v>231</v>
      </c>
      <c r="C17" s="331" t="s">
        <v>232</v>
      </c>
      <c r="D17" s="331">
        <v>7</v>
      </c>
      <c r="E17" s="331">
        <v>7</v>
      </c>
      <c r="F17" s="332">
        <v>36</v>
      </c>
      <c r="G17" s="332"/>
      <c r="H17" s="332"/>
      <c r="I17" s="332"/>
      <c r="J17" s="332">
        <v>36</v>
      </c>
      <c r="K17" s="332"/>
      <c r="L17" s="333">
        <v>1</v>
      </c>
      <c r="M17" s="334">
        <v>36</v>
      </c>
      <c r="N17" s="369">
        <v>4.41</v>
      </c>
      <c r="O17" s="335" t="s">
        <v>269</v>
      </c>
      <c r="P17" s="336">
        <v>16</v>
      </c>
      <c r="Q17" s="337">
        <v>15</v>
      </c>
      <c r="R17" s="337">
        <v>7.5</v>
      </c>
      <c r="S17" s="338">
        <f t="shared" si="1"/>
        <v>40.64</v>
      </c>
      <c r="T17" s="338">
        <f t="shared" si="0"/>
        <v>38.1</v>
      </c>
      <c r="U17" s="338">
        <f t="shared" si="0"/>
        <v>19.05</v>
      </c>
      <c r="V17" s="338" t="str">
        <f t="shared" si="2"/>
        <v>40.64*38.1*19.05</v>
      </c>
    </row>
    <row r="18" spans="1:22" s="338" customFormat="1" ht="30.75" customHeight="1">
      <c r="A18" s="331" t="s">
        <v>221</v>
      </c>
      <c r="B18" s="331" t="s">
        <v>231</v>
      </c>
      <c r="C18" s="331" t="s">
        <v>232</v>
      </c>
      <c r="D18" s="331">
        <v>8</v>
      </c>
      <c r="E18" s="331">
        <v>8</v>
      </c>
      <c r="F18" s="332">
        <v>26</v>
      </c>
      <c r="G18" s="332">
        <v>26</v>
      </c>
      <c r="H18" s="332"/>
      <c r="I18" s="332"/>
      <c r="J18" s="332"/>
      <c r="K18" s="332"/>
      <c r="L18" s="333">
        <v>1</v>
      </c>
      <c r="M18" s="334">
        <v>26</v>
      </c>
      <c r="N18" s="369">
        <v>2.665</v>
      </c>
      <c r="O18" s="335" t="s">
        <v>270</v>
      </c>
      <c r="P18" s="336">
        <v>16</v>
      </c>
      <c r="Q18" s="337">
        <v>15</v>
      </c>
      <c r="R18" s="337">
        <v>5.5</v>
      </c>
      <c r="S18" s="338">
        <f t="shared" si="1"/>
        <v>40.64</v>
      </c>
      <c r="T18" s="338">
        <f t="shared" si="0"/>
        <v>38.1</v>
      </c>
      <c r="U18" s="338">
        <f t="shared" si="0"/>
        <v>13.97</v>
      </c>
      <c r="V18" s="338" t="str">
        <f t="shared" si="2"/>
        <v>40.64*38.1*13.97</v>
      </c>
    </row>
    <row r="19" spans="1:22" s="338" customFormat="1" ht="30.75" customHeight="1">
      <c r="A19" s="331" t="s">
        <v>221</v>
      </c>
      <c r="B19" s="331" t="s">
        <v>231</v>
      </c>
      <c r="C19" s="331" t="s">
        <v>232</v>
      </c>
      <c r="D19" s="331">
        <v>9</v>
      </c>
      <c r="E19" s="331">
        <v>9</v>
      </c>
      <c r="F19" s="332">
        <v>14</v>
      </c>
      <c r="G19" s="332"/>
      <c r="H19" s="332">
        <v>14</v>
      </c>
      <c r="I19" s="332"/>
      <c r="J19" s="332"/>
      <c r="K19" s="333"/>
      <c r="L19" s="338">
        <v>1</v>
      </c>
      <c r="M19" s="334">
        <v>14</v>
      </c>
      <c r="N19" s="369">
        <v>1.5166666666666666</v>
      </c>
      <c r="O19" s="335" t="s">
        <v>270</v>
      </c>
      <c r="P19" s="336">
        <v>16</v>
      </c>
      <c r="Q19" s="337">
        <v>15.5</v>
      </c>
      <c r="R19" s="337">
        <v>3</v>
      </c>
      <c r="S19" s="338">
        <f t="shared" si="1"/>
        <v>40.64</v>
      </c>
      <c r="T19" s="338">
        <f t="shared" si="0"/>
        <v>39.369999999999997</v>
      </c>
      <c r="U19" s="338">
        <f t="shared" si="0"/>
        <v>7.62</v>
      </c>
      <c r="V19" s="338" t="str">
        <f t="shared" si="2"/>
        <v>40.64*39.37*7.62</v>
      </c>
    </row>
    <row r="20" spans="1:22" s="338" customFormat="1" ht="30.75" customHeight="1">
      <c r="A20" s="331" t="s">
        <v>221</v>
      </c>
      <c r="B20" s="331" t="s">
        <v>231</v>
      </c>
      <c r="C20" s="331" t="s">
        <v>232</v>
      </c>
      <c r="D20" s="331">
        <v>10</v>
      </c>
      <c r="E20" s="331">
        <v>10</v>
      </c>
      <c r="F20" s="332">
        <v>34</v>
      </c>
      <c r="G20" s="332"/>
      <c r="H20" s="332"/>
      <c r="I20" s="332">
        <v>34</v>
      </c>
      <c r="J20" s="332"/>
      <c r="K20" s="332"/>
      <c r="L20" s="333">
        <v>1</v>
      </c>
      <c r="M20" s="333">
        <v>34</v>
      </c>
      <c r="N20" s="369">
        <v>3.9099999999999997</v>
      </c>
      <c r="O20" s="335" t="s">
        <v>270</v>
      </c>
      <c r="P20" s="336">
        <v>16</v>
      </c>
      <c r="Q20" s="337">
        <v>15</v>
      </c>
      <c r="R20" s="337">
        <v>7.5</v>
      </c>
      <c r="S20" s="338">
        <f t="shared" si="1"/>
        <v>40.64</v>
      </c>
      <c r="T20" s="338">
        <f t="shared" si="0"/>
        <v>38.1</v>
      </c>
      <c r="U20" s="338">
        <f t="shared" si="0"/>
        <v>19.05</v>
      </c>
      <c r="V20" s="338" t="str">
        <f t="shared" si="2"/>
        <v>40.64*38.1*19.05</v>
      </c>
    </row>
    <row r="21" spans="1:22" s="338" customFormat="1" ht="30.75" customHeight="1">
      <c r="A21" s="331" t="s">
        <v>221</v>
      </c>
      <c r="B21" s="331" t="s">
        <v>231</v>
      </c>
      <c r="C21" s="331" t="s">
        <v>232</v>
      </c>
      <c r="D21" s="331">
        <v>11</v>
      </c>
      <c r="E21" s="331">
        <v>11</v>
      </c>
      <c r="F21" s="332">
        <v>18</v>
      </c>
      <c r="G21" s="332"/>
      <c r="H21" s="332"/>
      <c r="I21" s="332"/>
      <c r="J21" s="332">
        <v>18</v>
      </c>
      <c r="K21" s="332"/>
      <c r="L21" s="333">
        <v>1</v>
      </c>
      <c r="M21" s="334">
        <v>18</v>
      </c>
      <c r="N21" s="369">
        <v>2.2050000000000001</v>
      </c>
      <c r="O21" s="335" t="s">
        <v>270</v>
      </c>
      <c r="P21" s="336">
        <v>16</v>
      </c>
      <c r="Q21" s="337">
        <v>15.5</v>
      </c>
      <c r="R21" s="337">
        <v>4</v>
      </c>
      <c r="S21" s="338">
        <f t="shared" si="1"/>
        <v>40.64</v>
      </c>
      <c r="T21" s="338">
        <f t="shared" si="0"/>
        <v>39.369999999999997</v>
      </c>
      <c r="U21" s="338">
        <f t="shared" si="0"/>
        <v>10.16</v>
      </c>
      <c r="V21" s="338" t="str">
        <f t="shared" si="2"/>
        <v>40.64*39.37*10.16</v>
      </c>
    </row>
    <row r="22" spans="1:22" s="338" customFormat="1" ht="30.75" customHeight="1">
      <c r="A22" s="331"/>
      <c r="B22" s="331"/>
      <c r="C22" s="331"/>
      <c r="D22" s="331"/>
      <c r="E22" s="331"/>
      <c r="F22" s="332"/>
      <c r="G22" s="332"/>
      <c r="H22" s="332"/>
      <c r="I22" s="332"/>
      <c r="J22" s="332"/>
      <c r="K22" s="332"/>
      <c r="L22" s="339">
        <v>7</v>
      </c>
      <c r="M22" s="377">
        <v>200</v>
      </c>
      <c r="N22" s="378">
        <v>22.746666666666663</v>
      </c>
      <c r="O22" s="335"/>
      <c r="P22" s="336"/>
      <c r="Q22" s="337"/>
      <c r="R22" s="337"/>
      <c r="S22" s="338">
        <f t="shared" si="1"/>
        <v>0</v>
      </c>
      <c r="T22" s="338">
        <f t="shared" si="0"/>
        <v>0</v>
      </c>
      <c r="U22" s="338">
        <f t="shared" si="0"/>
        <v>0</v>
      </c>
      <c r="V22" s="338" t="str">
        <f t="shared" si="2"/>
        <v>0*0*0</v>
      </c>
    </row>
    <row r="23" spans="1:22" s="338" customFormat="1" ht="30.75" customHeight="1">
      <c r="A23" s="331"/>
      <c r="B23" s="331"/>
      <c r="C23" s="331"/>
      <c r="D23" s="331"/>
      <c r="E23" s="331"/>
      <c r="F23" s="332"/>
      <c r="G23" s="332"/>
      <c r="H23" s="332"/>
      <c r="I23" s="332"/>
      <c r="J23" s="332"/>
      <c r="K23" s="332"/>
      <c r="L23" s="339"/>
      <c r="M23" s="339"/>
      <c r="N23" s="335"/>
      <c r="O23" s="335"/>
    </row>
    <row r="24" spans="1:22" s="317" customFormat="1" ht="30.75" customHeight="1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1">
        <f>+L22+L14</f>
        <v>11</v>
      </c>
      <c r="M24" s="341">
        <f>+M22+M14</f>
        <v>300</v>
      </c>
      <c r="N24" s="374">
        <f>+N22+N14</f>
        <v>34.296666666666667</v>
      </c>
      <c r="O24" s="342"/>
    </row>
    <row r="25" spans="1:22" s="317" customFormat="1" ht="30.75" customHeight="1">
      <c r="A25" s="318"/>
      <c r="B25" s="343"/>
      <c r="H25" s="320"/>
      <c r="I25" s="320"/>
      <c r="J25" s="320"/>
      <c r="K25" s="320"/>
      <c r="L25" s="321"/>
      <c r="M25" s="320"/>
    </row>
  </sheetData>
  <autoFilter ref="A9:M24" xr:uid="{00000000-0009-0000-0000-000002000000}">
    <filterColumn colId="3" showButton="0"/>
  </autoFilter>
  <mergeCells count="32">
    <mergeCell ref="FB5:GA5"/>
    <mergeCell ref="GB5:HA5"/>
    <mergeCell ref="HB5:HW5"/>
    <mergeCell ref="D9:E9"/>
    <mergeCell ref="A5:M5"/>
    <mergeCell ref="AB5:BA5"/>
    <mergeCell ref="BB5:CA5"/>
    <mergeCell ref="CB5:DA5"/>
    <mergeCell ref="DB5:EA5"/>
    <mergeCell ref="EB5:FA5"/>
    <mergeCell ref="DV3:EN3"/>
    <mergeCell ref="EO3:FG3"/>
    <mergeCell ref="FH3:FZ3"/>
    <mergeCell ref="GA3:GS3"/>
    <mergeCell ref="GT3:HL3"/>
    <mergeCell ref="HM3:HU3"/>
    <mergeCell ref="EO2:FG2"/>
    <mergeCell ref="FH2:FZ2"/>
    <mergeCell ref="GA2:GS2"/>
    <mergeCell ref="GT2:HL2"/>
    <mergeCell ref="HM2:HU2"/>
    <mergeCell ref="AE3:AW3"/>
    <mergeCell ref="AX3:BP3"/>
    <mergeCell ref="BQ3:CI3"/>
    <mergeCell ref="CJ3:DB3"/>
    <mergeCell ref="DC3:DU3"/>
    <mergeCell ref="AE2:AW2"/>
    <mergeCell ref="AX2:BP2"/>
    <mergeCell ref="BQ2:CI2"/>
    <mergeCell ref="CJ2:DB2"/>
    <mergeCell ref="DC2:DU2"/>
    <mergeCell ref="DV2:EN2"/>
  </mergeCells>
  <pageMargins left="0.43307086614173229" right="0.19685039370078741" top="0.31496062992125984" bottom="0.43307086614173229" header="0.11811023622047245" footer="0.31496062992125984"/>
  <pageSetup paperSize="9" scale="56" fitToHeight="0" orientation="landscape" verticalDpi="1200" r:id="rId1"/>
  <rowBreaks count="1" manualBreakCount="1">
    <brk id="29" max="2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989E-49CB-4A92-A865-82734F874DEC}">
  <sheetPr>
    <tabColor theme="0" tint="-0.14999847407452621"/>
    <pageSetUpPr fitToPage="1"/>
  </sheetPr>
  <dimension ref="A1:N312"/>
  <sheetViews>
    <sheetView view="pageBreakPreview" topLeftCell="A4" zoomScale="52" zoomScaleNormal="70" zoomScaleSheetLayoutView="52" workbookViewId="0">
      <selection activeCell="G13" sqref="G13"/>
    </sheetView>
  </sheetViews>
  <sheetFormatPr defaultColWidth="9" defaultRowHeight="15"/>
  <cols>
    <col min="1" max="1" width="27" style="313" customWidth="1"/>
    <col min="2" max="2" width="28.875" style="313" customWidth="1"/>
    <col min="3" max="3" width="26.625" style="313" customWidth="1"/>
    <col min="4" max="8" width="10.625" style="313" customWidth="1"/>
    <col min="9" max="10" width="15.5" style="313" customWidth="1"/>
    <col min="11" max="16384" width="9" style="313"/>
  </cols>
  <sheetData>
    <row r="1" spans="1:12" s="338" customFormat="1" ht="33" customHeight="1">
      <c r="A1" s="316" t="s">
        <v>241</v>
      </c>
      <c r="B1" s="316"/>
      <c r="C1" s="316"/>
      <c r="D1" s="316"/>
      <c r="E1" s="316"/>
      <c r="F1" s="316"/>
      <c r="G1" s="316"/>
      <c r="H1" s="316"/>
      <c r="I1" s="316"/>
      <c r="J1" s="316"/>
    </row>
    <row r="2" spans="1:12" s="338" customFormat="1" ht="33" customHeight="1">
      <c r="A2" s="316" t="s">
        <v>242</v>
      </c>
      <c r="B2" s="316"/>
      <c r="C2" s="316"/>
      <c r="D2" s="316"/>
      <c r="E2" s="316"/>
      <c r="F2" s="316"/>
      <c r="G2" s="316"/>
      <c r="H2" s="316"/>
      <c r="I2" s="316"/>
      <c r="J2" s="316"/>
    </row>
    <row r="3" spans="1:12" s="338" customFormat="1" ht="33" customHeight="1">
      <c r="A3" s="346"/>
      <c r="B3" s="346"/>
      <c r="C3" s="346"/>
      <c r="D3" s="317"/>
      <c r="E3" s="317"/>
      <c r="F3" s="317"/>
      <c r="G3" s="317"/>
      <c r="H3" s="317"/>
      <c r="I3" s="317"/>
      <c r="J3" s="347"/>
    </row>
    <row r="4" spans="1:12" s="338" customFormat="1" ht="33" customHeight="1">
      <c r="A4" s="318" t="s">
        <v>234</v>
      </c>
      <c r="B4" s="319" t="str">
        <f>+'AJ916'!B6</f>
        <v>AJ916</v>
      </c>
      <c r="C4" s="348"/>
      <c r="D4" s="317"/>
      <c r="E4" s="317"/>
      <c r="F4" s="317"/>
      <c r="G4" s="317"/>
      <c r="H4" s="317"/>
      <c r="I4" s="317"/>
      <c r="J4" s="348"/>
    </row>
    <row r="5" spans="1:12" s="338" customFormat="1" ht="33" customHeight="1">
      <c r="A5" s="318" t="s">
        <v>235</v>
      </c>
      <c r="B5" s="343">
        <f>+I10</f>
        <v>11</v>
      </c>
      <c r="C5" s="348"/>
      <c r="D5" s="348"/>
      <c r="E5" s="348"/>
      <c r="F5" s="348"/>
      <c r="G5" s="348"/>
      <c r="H5" s="347"/>
      <c r="I5" s="348"/>
      <c r="J5" s="348"/>
    </row>
    <row r="6" spans="1:12" s="338" customFormat="1" ht="33" customHeight="1">
      <c r="A6" s="349" t="s">
        <v>236</v>
      </c>
      <c r="B6" s="349" t="s">
        <v>237</v>
      </c>
      <c r="C6" s="349" t="s">
        <v>238</v>
      </c>
      <c r="D6" s="349" t="s">
        <v>59</v>
      </c>
      <c r="E6" s="349" t="s">
        <v>27</v>
      </c>
      <c r="F6" s="349" t="s">
        <v>28</v>
      </c>
      <c r="G6" s="349" t="s">
        <v>29</v>
      </c>
      <c r="H6" s="349" t="s">
        <v>30</v>
      </c>
      <c r="I6" s="329" t="s">
        <v>31</v>
      </c>
      <c r="J6" s="329" t="s">
        <v>32</v>
      </c>
    </row>
    <row r="7" spans="1:12" s="338" customFormat="1" ht="33" customHeight="1">
      <c r="A7" s="350" t="s">
        <v>219</v>
      </c>
      <c r="B7" s="350" t="s">
        <v>220</v>
      </c>
      <c r="C7" s="350" t="s">
        <v>232</v>
      </c>
      <c r="D7" s="306">
        <v>5</v>
      </c>
      <c r="E7" s="306">
        <v>27</v>
      </c>
      <c r="F7" s="306">
        <v>35</v>
      </c>
      <c r="G7" s="306">
        <v>33</v>
      </c>
      <c r="H7" s="350"/>
      <c r="I7" s="350">
        <v>4</v>
      </c>
      <c r="J7" s="350">
        <v>100</v>
      </c>
      <c r="K7" s="338">
        <f>+SUM(D7:H7)</f>
        <v>100</v>
      </c>
      <c r="L7" s="338">
        <f>+K7-J7</f>
        <v>0</v>
      </c>
    </row>
    <row r="8" spans="1:12" s="338" customFormat="1" ht="33" customHeight="1">
      <c r="A8" s="350" t="s">
        <v>221</v>
      </c>
      <c r="B8" s="350" t="s">
        <v>220</v>
      </c>
      <c r="C8" s="350" t="s">
        <v>232</v>
      </c>
      <c r="D8" s="306">
        <v>26</v>
      </c>
      <c r="E8" s="306">
        <v>50</v>
      </c>
      <c r="F8" s="306">
        <v>70</v>
      </c>
      <c r="G8" s="306">
        <v>54</v>
      </c>
      <c r="H8" s="350"/>
      <c r="I8" s="350">
        <v>7</v>
      </c>
      <c r="J8" s="350">
        <v>200</v>
      </c>
      <c r="K8" s="338">
        <f>+SUM(D8:H8)</f>
        <v>200</v>
      </c>
      <c r="L8" s="338">
        <f>+K8-J8</f>
        <v>0</v>
      </c>
    </row>
    <row r="9" spans="1:12" s="338" customFormat="1" ht="33" customHeight="1">
      <c r="A9" s="350"/>
      <c r="B9" s="350"/>
      <c r="C9" s="350"/>
      <c r="D9" s="350"/>
      <c r="E9" s="350"/>
      <c r="F9" s="350"/>
      <c r="G9" s="350"/>
      <c r="H9" s="350"/>
      <c r="I9" s="350"/>
      <c r="J9" s="350"/>
    </row>
    <row r="10" spans="1:12" s="338" customFormat="1" ht="34.5" customHeight="1">
      <c r="A10" s="351" t="s">
        <v>33</v>
      </c>
      <c r="B10" s="351"/>
      <c r="C10" s="351"/>
      <c r="D10" s="352"/>
      <c r="E10" s="352"/>
      <c r="F10" s="353"/>
      <c r="G10" s="353"/>
      <c r="H10" s="353"/>
      <c r="I10" s="353">
        <f>SUM(I7:I9)</f>
        <v>11</v>
      </c>
      <c r="J10" s="353">
        <f>SUM(J7:J9)</f>
        <v>300</v>
      </c>
    </row>
    <row r="11" spans="1:12" ht="34.5" customHeight="1">
      <c r="A11" s="354" t="s">
        <v>243</v>
      </c>
      <c r="B11" s="354"/>
      <c r="C11" s="317"/>
      <c r="D11" s="317"/>
      <c r="E11" s="317"/>
    </row>
    <row r="12" spans="1:12" ht="34.5" customHeight="1">
      <c r="A12" s="355" t="s">
        <v>244</v>
      </c>
      <c r="B12" s="356" t="str">
        <f>+B4</f>
        <v>AJ916</v>
      </c>
      <c r="C12" s="356" t="s">
        <v>245</v>
      </c>
      <c r="D12" s="357" t="s">
        <v>25</v>
      </c>
      <c r="E12" s="357"/>
    </row>
    <row r="13" spans="1:12" ht="34.5" customHeight="1">
      <c r="A13" s="355" t="s">
        <v>246</v>
      </c>
      <c r="B13" s="356">
        <f>+C13</f>
        <v>11</v>
      </c>
      <c r="C13" s="358">
        <f>+I10</f>
        <v>11</v>
      </c>
      <c r="D13" s="317"/>
      <c r="E13" s="317"/>
    </row>
    <row r="14" spans="1:12" ht="34.5" customHeight="1">
      <c r="A14" s="355" t="s">
        <v>247</v>
      </c>
      <c r="B14" s="359">
        <f>+C14/$B$13</f>
        <v>3.1178787878787877</v>
      </c>
      <c r="C14" s="359">
        <v>34.296666666666667</v>
      </c>
      <c r="D14" s="360"/>
      <c r="E14" s="360"/>
    </row>
    <row r="15" spans="1:12" ht="34.5" customHeight="1">
      <c r="A15" s="355" t="s">
        <v>248</v>
      </c>
      <c r="B15" s="359">
        <f t="shared" ref="B15:B18" si="0">+C15/$B$13</f>
        <v>2.4554545454545451</v>
      </c>
      <c r="C15" s="359">
        <v>27.009999999999998</v>
      </c>
      <c r="D15" s="360"/>
      <c r="E15" s="360"/>
    </row>
    <row r="16" spans="1:12" ht="34.5" customHeight="1">
      <c r="A16" s="355" t="s">
        <v>249</v>
      </c>
      <c r="B16" s="359"/>
      <c r="C16" s="359"/>
      <c r="D16" s="317"/>
      <c r="E16" s="317"/>
    </row>
    <row r="17" spans="1:14" ht="34.5" customHeight="1">
      <c r="A17" s="355" t="s">
        <v>250</v>
      </c>
      <c r="B17" s="359"/>
      <c r="C17" s="359"/>
      <c r="D17" s="317"/>
      <c r="E17" s="317"/>
    </row>
    <row r="18" spans="1:14" ht="34.5" customHeight="1">
      <c r="A18" s="355" t="s">
        <v>251</v>
      </c>
      <c r="B18" s="359">
        <f t="shared" si="0"/>
        <v>2.146790909090909E-2</v>
      </c>
      <c r="C18" s="359">
        <v>0.236147</v>
      </c>
      <c r="D18" s="317"/>
      <c r="E18" s="317"/>
    </row>
    <row r="19" spans="1:14" ht="34.5" customHeight="1">
      <c r="A19" s="361" t="s">
        <v>252</v>
      </c>
      <c r="B19" s="362"/>
      <c r="C19" s="342"/>
      <c r="D19" s="317"/>
      <c r="E19" s="317"/>
    </row>
    <row r="20" spans="1:14" ht="34.5" customHeight="1">
      <c r="A20" s="363" t="s">
        <v>253</v>
      </c>
      <c r="B20" s="364"/>
      <c r="C20" s="317"/>
      <c r="D20" s="317"/>
      <c r="E20" s="317"/>
    </row>
    <row r="21" spans="1:14" ht="34.5" customHeight="1">
      <c r="A21" s="363"/>
      <c r="B21" s="364"/>
      <c r="D21" s="317"/>
      <c r="E21" s="317"/>
    </row>
    <row r="26" spans="1:14" ht="18.75">
      <c r="N26" s="376">
        <f>SUM(N10:N25)</f>
        <v>0</v>
      </c>
    </row>
    <row r="286" spans="2:4">
      <c r="B286" s="313">
        <v>-52</v>
      </c>
      <c r="C286" s="313">
        <v>-39</v>
      </c>
      <c r="D286" s="365"/>
    </row>
    <row r="287" spans="2:4">
      <c r="B287" s="313">
        <v>-52</v>
      </c>
      <c r="C287" s="313">
        <v>-39</v>
      </c>
    </row>
    <row r="288" spans="2:4">
      <c r="B288" s="313">
        <v>-52</v>
      </c>
      <c r="C288" s="313">
        <v>-39</v>
      </c>
    </row>
    <row r="289" spans="1:10">
      <c r="B289" s="313">
        <v>-52</v>
      </c>
      <c r="C289" s="313">
        <v>-39</v>
      </c>
    </row>
    <row r="290" spans="1:10">
      <c r="B290" s="313">
        <v>-52</v>
      </c>
      <c r="C290" s="313">
        <v>-39</v>
      </c>
    </row>
    <row r="291" spans="1:10">
      <c r="B291" s="313">
        <v>-52</v>
      </c>
      <c r="C291" s="313">
        <v>-39</v>
      </c>
    </row>
    <row r="292" spans="1:10">
      <c r="B292" s="313">
        <v>-52</v>
      </c>
      <c r="C292" s="313">
        <v>-39</v>
      </c>
    </row>
    <row r="293" spans="1:10" s="368" customFormat="1">
      <c r="A293" s="366" t="s">
        <v>254</v>
      </c>
      <c r="B293" s="367"/>
      <c r="C293" s="365">
        <v>-39</v>
      </c>
      <c r="D293" s="313"/>
      <c r="E293" s="365"/>
      <c r="F293" s="365"/>
      <c r="G293" s="365"/>
      <c r="H293" s="365"/>
      <c r="I293" s="365"/>
      <c r="J293" s="365"/>
    </row>
    <row r="294" spans="1:10">
      <c r="B294" s="313">
        <v>-52</v>
      </c>
      <c r="C294" s="313">
        <v>-39</v>
      </c>
    </row>
    <row r="296" spans="1:10">
      <c r="B296" s="313">
        <v>-52</v>
      </c>
      <c r="C296" s="313">
        <v>-39</v>
      </c>
      <c r="D296" s="365"/>
    </row>
    <row r="297" spans="1:10">
      <c r="B297" s="313">
        <v>-52</v>
      </c>
      <c r="C297" s="313">
        <v>-39</v>
      </c>
    </row>
    <row r="298" spans="1:10">
      <c r="B298" s="313">
        <v>-52</v>
      </c>
      <c r="C298" s="313">
        <v>-39</v>
      </c>
    </row>
    <row r="299" spans="1:10">
      <c r="B299" s="313">
        <v>-52</v>
      </c>
      <c r="C299" s="313">
        <v>-39</v>
      </c>
    </row>
    <row r="300" spans="1:10">
      <c r="B300" s="313">
        <v>-52</v>
      </c>
      <c r="C300" s="313">
        <v>-39</v>
      </c>
    </row>
    <row r="301" spans="1:10">
      <c r="B301" s="313">
        <v>-52</v>
      </c>
      <c r="C301" s="313">
        <v>-39</v>
      </c>
    </row>
    <row r="302" spans="1:10">
      <c r="B302" s="313">
        <v>-52</v>
      </c>
      <c r="C302" s="313">
        <v>-39</v>
      </c>
    </row>
    <row r="303" spans="1:10" s="368" customFormat="1">
      <c r="A303" s="366"/>
      <c r="B303" s="367"/>
      <c r="C303" s="365"/>
      <c r="D303" s="313"/>
      <c r="E303" s="365"/>
      <c r="F303" s="365"/>
      <c r="G303" s="365"/>
      <c r="H303" s="365"/>
      <c r="I303" s="365"/>
      <c r="J303" s="365"/>
    </row>
    <row r="304" spans="1:10">
      <c r="B304" s="313">
        <v>0</v>
      </c>
      <c r="C304" s="313">
        <v>0</v>
      </c>
      <c r="D304" s="365"/>
    </row>
    <row r="311" spans="1:10" s="368" customFormat="1">
      <c r="A311" s="366" t="s">
        <v>254</v>
      </c>
      <c r="B311" s="367"/>
      <c r="C311" s="365"/>
      <c r="D311" s="313"/>
      <c r="E311" s="365"/>
      <c r="F311" s="365"/>
      <c r="G311" s="365"/>
      <c r="H311" s="365"/>
      <c r="I311" s="365"/>
      <c r="J311" s="365"/>
    </row>
    <row r="312" spans="1:10">
      <c r="A312" s="366" t="s">
        <v>255</v>
      </c>
      <c r="B312" s="367"/>
    </row>
  </sheetData>
  <autoFilter ref="A6:J10" xr:uid="{00000000-0009-0000-0000-000003000000}"/>
  <mergeCells count="9">
    <mergeCell ref="A303:B303"/>
    <mergeCell ref="A311:B311"/>
    <mergeCell ref="A312:B312"/>
    <mergeCell ref="A1:J1"/>
    <mergeCell ref="A2:J2"/>
    <mergeCell ref="A10:C10"/>
    <mergeCell ref="D12:E12"/>
    <mergeCell ref="A20:A21"/>
    <mergeCell ref="A293:B293"/>
  </mergeCells>
  <pageMargins left="0.19685039370078741" right="0.19685039370078741" top="0.39370078740157483" bottom="0.19685039370078741" header="0.19685039370078741" footer="0.19685039370078741"/>
  <pageSetup scale="74" fitToHeight="0" orientation="landscape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BDCF-BECE-4DAA-96C5-3F4B4466E695}">
  <sheetPr>
    <pageSetUpPr fitToPage="1"/>
  </sheetPr>
  <dimension ref="A1:CH83"/>
  <sheetViews>
    <sheetView view="pageBreakPreview" topLeftCell="A24" zoomScale="85" zoomScaleNormal="70" zoomScaleSheetLayoutView="85" workbookViewId="0">
      <selection activeCell="L16" sqref="L16"/>
    </sheetView>
  </sheetViews>
  <sheetFormatPr defaultColWidth="11.25" defaultRowHeight="15"/>
  <cols>
    <col min="1" max="1" width="11.25" style="214"/>
    <col min="2" max="2" width="5.75" style="214" customWidth="1"/>
    <col min="3" max="3" width="7.625" style="214" customWidth="1"/>
    <col min="4" max="4" width="14.375" style="214" customWidth="1"/>
    <col min="5" max="5" width="10.25" style="214" customWidth="1"/>
    <col min="6" max="6" width="20.25" style="214" bestFit="1" customWidth="1"/>
    <col min="7" max="7" width="11" style="214" customWidth="1"/>
    <col min="8" max="8" width="9.25" style="214" customWidth="1"/>
    <col min="9" max="10" width="5.75" style="214" customWidth="1"/>
    <col min="11" max="11" width="6.75" style="214" customWidth="1"/>
    <col min="12" max="12" width="7.625" style="214" customWidth="1"/>
    <col min="13" max="16" width="7.25" style="214" hidden="1" customWidth="1"/>
    <col min="17" max="18" width="11.25" style="214"/>
    <col min="19" max="19" width="15" style="214" bestFit="1" customWidth="1"/>
    <col min="20" max="20" width="13.75" style="214" bestFit="1" customWidth="1"/>
    <col min="21" max="21" width="14.125" style="214" bestFit="1" customWidth="1"/>
    <col min="22" max="22" width="15" style="214" bestFit="1" customWidth="1"/>
    <col min="23" max="23" width="20.875" style="214" customWidth="1"/>
    <col min="24" max="24" width="11.25" style="214"/>
    <col min="25" max="28" width="11.25" style="214" customWidth="1"/>
    <col min="29" max="16384" width="11.25" style="214"/>
  </cols>
  <sheetData>
    <row r="1" spans="1:86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3" spans="1:86">
      <c r="A3" s="215"/>
      <c r="B3" s="215"/>
      <c r="C3" s="215"/>
      <c r="D3" s="215"/>
      <c r="E3" s="215"/>
      <c r="F3" s="215"/>
      <c r="G3" s="215"/>
      <c r="H3" s="215"/>
      <c r="M3" s="215"/>
      <c r="N3" s="215"/>
      <c r="O3" s="215"/>
      <c r="P3" s="215"/>
    </row>
    <row r="4" spans="1:86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</row>
    <row r="5" spans="1:86">
      <c r="H5" s="214" t="s">
        <v>43</v>
      </c>
    </row>
    <row r="6" spans="1:86">
      <c r="A6" s="216" t="s">
        <v>168</v>
      </c>
      <c r="B6" s="216"/>
      <c r="C6" s="216"/>
      <c r="E6" s="214" t="str">
        <f>+'[1]INVOICE 11'!C7</f>
        <v>SUPREME INTERNATIONAL, LLC</v>
      </c>
      <c r="G6" s="217"/>
      <c r="H6" s="214" t="s">
        <v>169</v>
      </c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</row>
    <row r="7" spans="1:86">
      <c r="A7" s="216"/>
      <c r="B7" s="216"/>
      <c r="C7" s="216"/>
      <c r="F7" s="217"/>
      <c r="G7" s="217"/>
      <c r="H7" s="214" t="s">
        <v>170</v>
      </c>
    </row>
    <row r="8" spans="1:86">
      <c r="A8" s="216"/>
      <c r="B8" s="216"/>
      <c r="C8" s="216"/>
      <c r="D8" s="225"/>
      <c r="E8" s="225"/>
      <c r="F8" s="225"/>
      <c r="G8" s="225"/>
      <c r="H8" s="214" t="s">
        <v>45</v>
      </c>
    </row>
    <row r="9" spans="1:86">
      <c r="A9" s="216"/>
      <c r="B9" s="216"/>
      <c r="C9" s="216"/>
      <c r="H9" s="214" t="s">
        <v>171</v>
      </c>
    </row>
    <row r="10" spans="1:86">
      <c r="A10" s="216"/>
      <c r="B10" s="216"/>
      <c r="C10" s="216"/>
      <c r="H10" s="214" t="s">
        <v>172</v>
      </c>
    </row>
    <row r="11" spans="1:86">
      <c r="A11" s="216"/>
      <c r="B11" s="216"/>
      <c r="C11" s="216"/>
    </row>
    <row r="12" spans="1:86">
      <c r="A12" s="291" t="s">
        <v>173</v>
      </c>
      <c r="B12" s="291"/>
      <c r="C12" s="291"/>
      <c r="H12" s="214" t="s">
        <v>174</v>
      </c>
    </row>
    <row r="13" spans="1:86">
      <c r="A13" s="216" t="s">
        <v>175</v>
      </c>
      <c r="B13" s="216" t="s">
        <v>206</v>
      </c>
      <c r="C13" s="216"/>
      <c r="H13" s="214" t="s">
        <v>176</v>
      </c>
    </row>
    <row r="14" spans="1:86">
      <c r="A14" s="291" t="s">
        <v>177</v>
      </c>
      <c r="B14" s="291"/>
      <c r="C14" s="291"/>
      <c r="E14" s="214" t="str">
        <f>+B13</f>
        <v>DV10</v>
      </c>
    </row>
    <row r="15" spans="1:86">
      <c r="A15" s="216" t="s">
        <v>178</v>
      </c>
      <c r="B15" s="216"/>
      <c r="C15" s="216"/>
      <c r="D15" s="214">
        <f>+'INVOICE 94'!M2</f>
        <v>7726477</v>
      </c>
      <c r="E15" s="216"/>
      <c r="S15" s="218"/>
      <c r="T15" s="218"/>
    </row>
    <row r="16" spans="1:86">
      <c r="A16" s="291" t="s">
        <v>179</v>
      </c>
      <c r="B16" s="291"/>
      <c r="C16" s="291"/>
    </row>
    <row r="18" spans="1:29">
      <c r="A18" s="292" t="s">
        <v>180</v>
      </c>
      <c r="B18" s="292"/>
      <c r="C18" s="292"/>
      <c r="D18" s="219" t="s">
        <v>182</v>
      </c>
      <c r="E18" s="219" t="s">
        <v>181</v>
      </c>
      <c r="F18" s="219" t="s">
        <v>183</v>
      </c>
      <c r="G18" s="219" t="s">
        <v>184</v>
      </c>
      <c r="H18" s="219" t="s">
        <v>26</v>
      </c>
      <c r="I18" s="219" t="s">
        <v>59</v>
      </c>
      <c r="J18" s="219" t="s">
        <v>27</v>
      </c>
      <c r="K18" s="219" t="s">
        <v>28</v>
      </c>
      <c r="L18" s="219" t="s">
        <v>29</v>
      </c>
      <c r="M18" s="219">
        <v>4</v>
      </c>
      <c r="N18" s="219">
        <v>5</v>
      </c>
      <c r="O18" s="219">
        <v>6</v>
      </c>
      <c r="P18" s="219" t="s">
        <v>165</v>
      </c>
      <c r="Q18" s="219" t="s">
        <v>31</v>
      </c>
      <c r="R18" s="219" t="s">
        <v>32</v>
      </c>
      <c r="S18" s="219" t="s">
        <v>185</v>
      </c>
      <c r="T18" s="219" t="s">
        <v>186</v>
      </c>
      <c r="U18" s="220" t="s">
        <v>188</v>
      </c>
      <c r="V18" s="219" t="s">
        <v>187</v>
      </c>
      <c r="W18" s="220" t="s">
        <v>203</v>
      </c>
    </row>
    <row r="19" spans="1:29">
      <c r="A19" s="221">
        <v>1</v>
      </c>
      <c r="B19" s="221"/>
      <c r="C19" s="221">
        <v>2</v>
      </c>
      <c r="D19" s="221"/>
      <c r="E19" s="221" t="s">
        <v>222</v>
      </c>
      <c r="F19" s="221" t="s">
        <v>231</v>
      </c>
      <c r="G19" s="221" t="s">
        <v>232</v>
      </c>
      <c r="H19" s="221">
        <v>36</v>
      </c>
      <c r="I19" s="221"/>
      <c r="J19" s="221">
        <v>36</v>
      </c>
      <c r="K19" s="221"/>
      <c r="L19" s="221"/>
      <c r="M19" s="221"/>
      <c r="N19" s="221"/>
      <c r="O19" s="221"/>
      <c r="P19" s="221"/>
      <c r="Q19" s="221">
        <v>2</v>
      </c>
      <c r="R19" s="221">
        <v>72</v>
      </c>
      <c r="S19" s="222">
        <f>+U19/Q19</f>
        <v>3.3200000000000003</v>
      </c>
      <c r="T19" s="222">
        <f>+V19/Q19</f>
        <v>4.32</v>
      </c>
      <c r="U19" s="222">
        <v>6.6400000000000006</v>
      </c>
      <c r="V19" s="222">
        <v>8.64</v>
      </c>
      <c r="W19" s="221" t="str">
        <f>AA19&amp;"*"&amp;AB19&amp;"*"&amp;AC19</f>
        <v>50.8*43.18*11.43</v>
      </c>
      <c r="X19" s="223">
        <v>20</v>
      </c>
      <c r="Y19" s="223">
        <v>17</v>
      </c>
      <c r="Z19" s="223">
        <v>4.5</v>
      </c>
      <c r="AA19" s="214">
        <f>+X19*2.54</f>
        <v>50.8</v>
      </c>
      <c r="AB19" s="214">
        <f t="shared" ref="AB19:AC19" si="0">+Y19*2.54</f>
        <v>43.18</v>
      </c>
      <c r="AC19" s="214">
        <f t="shared" si="0"/>
        <v>11.43</v>
      </c>
    </row>
    <row r="20" spans="1:29">
      <c r="A20" s="221">
        <v>3</v>
      </c>
      <c r="B20" s="221"/>
      <c r="C20" s="221">
        <v>6</v>
      </c>
      <c r="D20" s="221"/>
      <c r="E20" s="221"/>
      <c r="F20" s="221"/>
      <c r="G20" s="221"/>
      <c r="H20" s="221">
        <v>36</v>
      </c>
      <c r="I20" s="221"/>
      <c r="J20" s="221"/>
      <c r="K20" s="221">
        <v>36</v>
      </c>
      <c r="L20" s="221"/>
      <c r="M20" s="221"/>
      <c r="N20" s="221"/>
      <c r="O20" s="221"/>
      <c r="P20" s="221"/>
      <c r="Q20" s="221">
        <v>4</v>
      </c>
      <c r="R20" s="221">
        <v>144</v>
      </c>
      <c r="S20" s="222">
        <f t="shared" ref="S20:S37" si="1">+U20/Q20</f>
        <v>3.6399999999999997</v>
      </c>
      <c r="T20" s="222">
        <f t="shared" ref="T20:T37" si="2">+V20/Q20</f>
        <v>4.6399999999999997</v>
      </c>
      <c r="U20" s="222">
        <v>14.559999999999999</v>
      </c>
      <c r="V20" s="222">
        <v>18.559999999999999</v>
      </c>
      <c r="W20" s="221" t="str">
        <f t="shared" ref="W20:W36" si="3">AA20&amp;"*"&amp;AB20&amp;"*"&amp;AC20</f>
        <v>50.8*43.18*11.43</v>
      </c>
      <c r="X20" s="223">
        <v>20</v>
      </c>
      <c r="Y20" s="223">
        <v>17</v>
      </c>
      <c r="Z20" s="223">
        <v>4.5</v>
      </c>
      <c r="AA20" s="214">
        <f t="shared" ref="AA20:AA36" si="4">+X20*2.54</f>
        <v>50.8</v>
      </c>
      <c r="AB20" s="214">
        <f t="shared" ref="AB20:AB36" si="5">+Y20*2.54</f>
        <v>43.18</v>
      </c>
      <c r="AC20" s="214">
        <f t="shared" ref="AC20:AC36" si="6">+Z20*2.54</f>
        <v>11.43</v>
      </c>
    </row>
    <row r="21" spans="1:29">
      <c r="A21" s="230">
        <v>7</v>
      </c>
      <c r="B21" s="230"/>
      <c r="C21" s="230">
        <v>10</v>
      </c>
      <c r="D21" s="230"/>
      <c r="E21" s="230"/>
      <c r="F21" s="230"/>
      <c r="G21" s="230"/>
      <c r="H21" s="230">
        <v>36</v>
      </c>
      <c r="I21" s="230"/>
      <c r="J21" s="230"/>
      <c r="K21" s="230"/>
      <c r="L21" s="230">
        <v>36</v>
      </c>
      <c r="M21" s="230"/>
      <c r="N21" s="230"/>
      <c r="O21" s="230"/>
      <c r="P21" s="230"/>
      <c r="Q21" s="230">
        <v>4</v>
      </c>
      <c r="R21" s="230">
        <v>144</v>
      </c>
      <c r="S21" s="222">
        <f t="shared" si="1"/>
        <v>3.9299999999999997</v>
      </c>
      <c r="T21" s="222">
        <f t="shared" si="2"/>
        <v>4.96</v>
      </c>
      <c r="U21" s="231">
        <v>15.719999999999999</v>
      </c>
      <c r="V21" s="231">
        <v>19.84</v>
      </c>
      <c r="W21" s="221" t="str">
        <f t="shared" si="3"/>
        <v>50.8*43.18*12.7</v>
      </c>
      <c r="X21" s="223">
        <v>20</v>
      </c>
      <c r="Y21" s="223">
        <v>17</v>
      </c>
      <c r="Z21" s="223">
        <v>5</v>
      </c>
      <c r="AA21" s="214">
        <f t="shared" si="4"/>
        <v>50.8</v>
      </c>
      <c r="AB21" s="214">
        <f t="shared" si="5"/>
        <v>43.18</v>
      </c>
      <c r="AC21" s="214">
        <f t="shared" si="6"/>
        <v>12.7</v>
      </c>
    </row>
    <row r="22" spans="1:29">
      <c r="A22" s="230">
        <v>11</v>
      </c>
      <c r="B22" s="230"/>
      <c r="C22" s="230">
        <v>12</v>
      </c>
      <c r="D22" s="230"/>
      <c r="E22" s="230"/>
      <c r="F22" s="230"/>
      <c r="G22" s="230"/>
      <c r="H22" s="230">
        <v>36</v>
      </c>
      <c r="I22" s="230"/>
      <c r="J22" s="230"/>
      <c r="K22" s="230"/>
      <c r="L22" s="230"/>
      <c r="M22" s="230">
        <v>36</v>
      </c>
      <c r="N22" s="230"/>
      <c r="O22" s="230"/>
      <c r="P22" s="230"/>
      <c r="Q22" s="230">
        <v>2</v>
      </c>
      <c r="R22" s="230">
        <v>72</v>
      </c>
      <c r="S22" s="222">
        <f t="shared" si="1"/>
        <v>4.25</v>
      </c>
      <c r="T22" s="222">
        <f t="shared" si="2"/>
        <v>5.28</v>
      </c>
      <c r="U22" s="231">
        <v>8.5</v>
      </c>
      <c r="V22" s="231">
        <v>10.56</v>
      </c>
      <c r="W22" s="221" t="str">
        <f t="shared" si="3"/>
        <v>50.8*43.18*12.7</v>
      </c>
      <c r="X22" s="223">
        <v>20</v>
      </c>
      <c r="Y22" s="223">
        <v>17</v>
      </c>
      <c r="Z22" s="223">
        <v>5</v>
      </c>
      <c r="AA22" s="214">
        <f t="shared" si="4"/>
        <v>50.8</v>
      </c>
      <c r="AB22" s="214">
        <f t="shared" si="5"/>
        <v>43.18</v>
      </c>
      <c r="AC22" s="214">
        <f t="shared" si="6"/>
        <v>12.7</v>
      </c>
    </row>
    <row r="23" spans="1:29">
      <c r="A23" s="230">
        <v>13</v>
      </c>
      <c r="B23" s="230"/>
      <c r="C23" s="230">
        <v>13</v>
      </c>
      <c r="D23" s="230" t="s">
        <v>189</v>
      </c>
      <c r="E23" s="230"/>
      <c r="F23" s="230"/>
      <c r="G23" s="230"/>
      <c r="H23" s="230">
        <v>28</v>
      </c>
      <c r="I23" s="230"/>
      <c r="J23" s="230">
        <v>28</v>
      </c>
      <c r="K23" s="230"/>
      <c r="L23" s="230"/>
      <c r="M23" s="230"/>
      <c r="N23" s="230"/>
      <c r="O23" s="230"/>
      <c r="P23" s="230"/>
      <c r="Q23" s="230">
        <v>1</v>
      </c>
      <c r="R23" s="230">
        <v>28</v>
      </c>
      <c r="S23" s="222">
        <f t="shared" si="1"/>
        <v>2.36</v>
      </c>
      <c r="T23" s="222">
        <f t="shared" si="2"/>
        <v>3.36</v>
      </c>
      <c r="U23" s="231">
        <v>2.36</v>
      </c>
      <c r="V23" s="231">
        <v>3.36</v>
      </c>
      <c r="W23" s="221" t="str">
        <f t="shared" si="3"/>
        <v>50.8*43.18*10.16</v>
      </c>
      <c r="X23" s="223">
        <v>20</v>
      </c>
      <c r="Y23" s="223">
        <v>17</v>
      </c>
      <c r="Z23" s="223">
        <v>4</v>
      </c>
      <c r="AA23" s="214">
        <f t="shared" si="4"/>
        <v>50.8</v>
      </c>
      <c r="AB23" s="214">
        <f t="shared" si="5"/>
        <v>43.18</v>
      </c>
      <c r="AC23" s="214">
        <f t="shared" si="6"/>
        <v>10.16</v>
      </c>
    </row>
    <row r="24" spans="1:29">
      <c r="A24" s="230">
        <v>14</v>
      </c>
      <c r="B24" s="230"/>
      <c r="C24" s="230">
        <v>14</v>
      </c>
      <c r="D24" s="230" t="s">
        <v>189</v>
      </c>
      <c r="E24" s="230"/>
      <c r="F24" s="230"/>
      <c r="G24" s="230"/>
      <c r="H24" s="230">
        <v>28</v>
      </c>
      <c r="I24" s="230"/>
      <c r="J24" s="230"/>
      <c r="K24" s="230"/>
      <c r="L24" s="230"/>
      <c r="M24" s="230">
        <v>28</v>
      </c>
      <c r="N24" s="230"/>
      <c r="O24" s="230"/>
      <c r="P24" s="230"/>
      <c r="Q24" s="230">
        <v>1</v>
      </c>
      <c r="R24" s="230">
        <v>28</v>
      </c>
      <c r="S24" s="222">
        <f t="shared" si="1"/>
        <v>3.0999999999999996</v>
      </c>
      <c r="T24" s="222">
        <f t="shared" si="2"/>
        <v>4.0999999999999996</v>
      </c>
      <c r="U24" s="231">
        <v>3.0999999999999996</v>
      </c>
      <c r="V24" s="231">
        <v>4.0999999999999996</v>
      </c>
      <c r="W24" s="221" t="str">
        <f t="shared" si="3"/>
        <v>50.8*43.18*11.43</v>
      </c>
      <c r="X24" s="223">
        <v>20</v>
      </c>
      <c r="Y24" s="223">
        <v>17</v>
      </c>
      <c r="Z24" s="223">
        <v>4.5</v>
      </c>
      <c r="AA24" s="214">
        <f t="shared" si="4"/>
        <v>50.8</v>
      </c>
      <c r="AB24" s="214">
        <f t="shared" si="5"/>
        <v>43.18</v>
      </c>
      <c r="AC24" s="214">
        <f t="shared" si="6"/>
        <v>11.43</v>
      </c>
    </row>
    <row r="25" spans="1:29">
      <c r="A25" s="230" t="s">
        <v>256</v>
      </c>
      <c r="B25" s="230"/>
      <c r="C25" s="230"/>
      <c r="D25" s="230" t="s">
        <v>198</v>
      </c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22"/>
      <c r="T25" s="222"/>
      <c r="U25" s="231"/>
      <c r="V25" s="231"/>
      <c r="W25" s="221"/>
      <c r="X25" s="223">
        <v>19</v>
      </c>
      <c r="Y25" s="223">
        <v>11</v>
      </c>
      <c r="Z25" s="223">
        <v>4.5</v>
      </c>
      <c r="AA25" s="214">
        <f t="shared" si="4"/>
        <v>48.26</v>
      </c>
      <c r="AB25" s="214">
        <f t="shared" si="5"/>
        <v>27.94</v>
      </c>
      <c r="AC25" s="214">
        <f t="shared" si="6"/>
        <v>11.43</v>
      </c>
    </row>
    <row r="26" spans="1:29">
      <c r="A26" s="230">
        <v>15</v>
      </c>
      <c r="B26" s="230"/>
      <c r="C26" s="230">
        <v>15</v>
      </c>
      <c r="D26" s="230" t="s">
        <v>190</v>
      </c>
      <c r="E26" s="230"/>
      <c r="F26" s="230"/>
      <c r="G26" s="230"/>
      <c r="H26" s="230">
        <v>6</v>
      </c>
      <c r="I26" s="230"/>
      <c r="J26" s="230"/>
      <c r="K26" s="230">
        <v>6</v>
      </c>
      <c r="L26" s="230"/>
      <c r="M26" s="230"/>
      <c r="N26" s="230"/>
      <c r="O26" s="230"/>
      <c r="P26" s="230"/>
      <c r="Q26" s="230">
        <v>1</v>
      </c>
      <c r="R26" s="230">
        <v>6</v>
      </c>
      <c r="S26" s="222">
        <f t="shared" si="1"/>
        <v>1.75</v>
      </c>
      <c r="T26" s="222">
        <f t="shared" si="2"/>
        <v>2.2200000000000002</v>
      </c>
      <c r="U26" s="231">
        <v>1.75</v>
      </c>
      <c r="V26" s="231">
        <v>2.2200000000000002</v>
      </c>
      <c r="W26" s="221" t="str">
        <f t="shared" si="3"/>
        <v>25.4*22.86*8.89</v>
      </c>
      <c r="X26" s="223">
        <v>10</v>
      </c>
      <c r="Y26" s="223">
        <v>9</v>
      </c>
      <c r="Z26" s="223">
        <v>3.5</v>
      </c>
      <c r="AA26" s="214">
        <f t="shared" si="4"/>
        <v>25.4</v>
      </c>
      <c r="AB26" s="214">
        <f t="shared" si="5"/>
        <v>22.86</v>
      </c>
      <c r="AC26" s="214">
        <f t="shared" si="6"/>
        <v>8.89</v>
      </c>
    </row>
    <row r="27" spans="1:29">
      <c r="A27" s="230">
        <v>16</v>
      </c>
      <c r="B27" s="230"/>
      <c r="C27" s="230">
        <v>16</v>
      </c>
      <c r="D27" s="230" t="s">
        <v>190</v>
      </c>
      <c r="E27" s="230"/>
      <c r="F27" s="230"/>
      <c r="G27" s="230"/>
      <c r="H27" s="230">
        <v>6</v>
      </c>
      <c r="I27" s="230"/>
      <c r="J27" s="230"/>
      <c r="K27" s="230"/>
      <c r="L27" s="230">
        <v>6</v>
      </c>
      <c r="M27" s="230"/>
      <c r="N27" s="230"/>
      <c r="O27" s="230"/>
      <c r="P27" s="230"/>
      <c r="Q27" s="230"/>
      <c r="R27" s="230">
        <v>6</v>
      </c>
      <c r="S27" s="222"/>
      <c r="T27" s="222"/>
      <c r="U27" s="231"/>
      <c r="V27" s="231"/>
      <c r="W27" s="221" t="str">
        <f t="shared" si="3"/>
        <v>25.4*22.86*8.89</v>
      </c>
      <c r="X27" s="223">
        <v>10</v>
      </c>
      <c r="Y27" s="223">
        <v>9</v>
      </c>
      <c r="Z27" s="223">
        <v>3.5</v>
      </c>
      <c r="AA27" s="214">
        <f t="shared" si="4"/>
        <v>25.4</v>
      </c>
      <c r="AB27" s="214">
        <f t="shared" si="5"/>
        <v>22.86</v>
      </c>
      <c r="AC27" s="214">
        <f t="shared" si="6"/>
        <v>8.89</v>
      </c>
    </row>
    <row r="28" spans="1:29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>
        <v>100</v>
      </c>
      <c r="N28" s="230"/>
      <c r="O28" s="230"/>
      <c r="P28" s="230"/>
      <c r="Q28" s="230"/>
      <c r="R28" s="230"/>
      <c r="S28" s="222"/>
      <c r="T28" s="222"/>
      <c r="U28" s="231"/>
      <c r="V28" s="231"/>
      <c r="W28" s="221"/>
      <c r="X28" s="223"/>
      <c r="Y28" s="223"/>
      <c r="Z28" s="223"/>
    </row>
    <row r="29" spans="1:29">
      <c r="A29" s="230">
        <v>17</v>
      </c>
      <c r="B29" s="230"/>
      <c r="C29" s="230">
        <v>17</v>
      </c>
      <c r="D29" s="230"/>
      <c r="E29" s="230" t="s">
        <v>222</v>
      </c>
      <c r="F29" s="230" t="s">
        <v>257</v>
      </c>
      <c r="G29" s="230" t="s">
        <v>258</v>
      </c>
      <c r="H29" s="230">
        <v>36</v>
      </c>
      <c r="I29" s="230"/>
      <c r="J29" s="230">
        <v>36</v>
      </c>
      <c r="K29" s="230"/>
      <c r="L29" s="230"/>
      <c r="M29" s="230"/>
      <c r="N29" s="230"/>
      <c r="O29" s="230"/>
      <c r="P29" s="230"/>
      <c r="Q29" s="230">
        <v>1</v>
      </c>
      <c r="R29" s="230">
        <v>36</v>
      </c>
      <c r="S29" s="222">
        <f t="shared" si="1"/>
        <v>3.3200000000000003</v>
      </c>
      <c r="T29" s="222">
        <f t="shared" si="2"/>
        <v>4.32</v>
      </c>
      <c r="U29" s="231">
        <v>3.3200000000000003</v>
      </c>
      <c r="V29" s="231">
        <v>4.32</v>
      </c>
      <c r="W29" s="221" t="str">
        <f t="shared" si="3"/>
        <v>50.8*43.18*11.43</v>
      </c>
      <c r="X29" s="223">
        <v>20</v>
      </c>
      <c r="Y29" s="223">
        <v>17</v>
      </c>
      <c r="Z29" s="223">
        <v>4.5</v>
      </c>
      <c r="AA29" s="214">
        <f t="shared" si="4"/>
        <v>50.8</v>
      </c>
      <c r="AB29" s="214">
        <f t="shared" si="5"/>
        <v>43.18</v>
      </c>
      <c r="AC29" s="214">
        <f t="shared" si="6"/>
        <v>11.43</v>
      </c>
    </row>
    <row r="30" spans="1:29">
      <c r="A30" s="230">
        <v>18</v>
      </c>
      <c r="B30" s="230"/>
      <c r="C30" s="230">
        <v>18</v>
      </c>
      <c r="D30" s="230"/>
      <c r="E30" s="230"/>
      <c r="F30" s="230"/>
      <c r="G30" s="230"/>
      <c r="H30" s="230">
        <v>36</v>
      </c>
      <c r="I30" s="230"/>
      <c r="J30" s="230"/>
      <c r="K30" s="230">
        <v>36</v>
      </c>
      <c r="L30" s="230"/>
      <c r="M30" s="230"/>
      <c r="N30" s="230"/>
      <c r="O30" s="230"/>
      <c r="P30" s="230"/>
      <c r="Q30" s="230">
        <v>1</v>
      </c>
      <c r="R30" s="230">
        <v>36</v>
      </c>
      <c r="S30" s="222">
        <f t="shared" si="1"/>
        <v>3.6399999999999997</v>
      </c>
      <c r="T30" s="222">
        <f t="shared" si="2"/>
        <v>4.6399999999999997</v>
      </c>
      <c r="U30" s="231">
        <v>3.6399999999999997</v>
      </c>
      <c r="V30" s="231">
        <v>4.6399999999999997</v>
      </c>
      <c r="W30" s="221" t="str">
        <f t="shared" si="3"/>
        <v>50.8*43.18*11.43</v>
      </c>
      <c r="X30" s="223">
        <v>20</v>
      </c>
      <c r="Y30" s="223">
        <v>17</v>
      </c>
      <c r="Z30" s="223">
        <v>4.5</v>
      </c>
      <c r="AA30" s="214">
        <f t="shared" si="4"/>
        <v>50.8</v>
      </c>
      <c r="AB30" s="214">
        <f t="shared" si="5"/>
        <v>43.18</v>
      </c>
      <c r="AC30" s="214">
        <f t="shared" si="6"/>
        <v>11.43</v>
      </c>
    </row>
    <row r="31" spans="1:29">
      <c r="A31" s="230">
        <v>19</v>
      </c>
      <c r="B31" s="230"/>
      <c r="C31" s="230">
        <v>19</v>
      </c>
      <c r="D31" s="230"/>
      <c r="E31" s="230"/>
      <c r="F31" s="230"/>
      <c r="G31" s="230"/>
      <c r="H31" s="230">
        <v>39</v>
      </c>
      <c r="I31" s="230"/>
      <c r="J31" s="230"/>
      <c r="K31" s="230">
        <v>39</v>
      </c>
      <c r="L31" s="230"/>
      <c r="M31" s="230"/>
      <c r="N31" s="230"/>
      <c r="O31" s="230"/>
      <c r="P31" s="230"/>
      <c r="Q31" s="230">
        <v>1</v>
      </c>
      <c r="R31" s="230">
        <v>39</v>
      </c>
      <c r="S31" s="222">
        <f t="shared" si="1"/>
        <v>1.8399999999999999</v>
      </c>
      <c r="T31" s="222">
        <f t="shared" si="2"/>
        <v>4.84</v>
      </c>
      <c r="U31" s="231">
        <v>1.8399999999999999</v>
      </c>
      <c r="V31" s="231">
        <v>4.84</v>
      </c>
      <c r="W31" s="221" t="str">
        <f t="shared" si="3"/>
        <v>50.8*43.18*12.7</v>
      </c>
      <c r="X31" s="223">
        <v>20</v>
      </c>
      <c r="Y31" s="223">
        <v>17</v>
      </c>
      <c r="Z31" s="223">
        <v>5</v>
      </c>
      <c r="AA31" s="214">
        <f t="shared" si="4"/>
        <v>50.8</v>
      </c>
      <c r="AB31" s="214">
        <f t="shared" si="5"/>
        <v>43.18</v>
      </c>
      <c r="AC31" s="214">
        <f t="shared" si="6"/>
        <v>12.7</v>
      </c>
    </row>
    <row r="32" spans="1:29">
      <c r="A32" s="230">
        <v>20</v>
      </c>
      <c r="B32" s="230"/>
      <c r="C32" s="230">
        <v>20</v>
      </c>
      <c r="D32" s="230"/>
      <c r="E32" s="230"/>
      <c r="F32" s="230"/>
      <c r="G32" s="230"/>
      <c r="H32" s="230">
        <v>36</v>
      </c>
      <c r="I32" s="230"/>
      <c r="J32" s="230"/>
      <c r="K32" s="230"/>
      <c r="L32" s="230">
        <v>36</v>
      </c>
      <c r="M32" s="230"/>
      <c r="N32" s="230"/>
      <c r="O32" s="230"/>
      <c r="P32" s="230"/>
      <c r="Q32" s="230">
        <v>1</v>
      </c>
      <c r="R32" s="230">
        <v>36</v>
      </c>
      <c r="S32" s="222">
        <f t="shared" si="1"/>
        <v>3.96</v>
      </c>
      <c r="T32" s="222">
        <f t="shared" si="2"/>
        <v>4.96</v>
      </c>
      <c r="U32" s="231">
        <v>3.96</v>
      </c>
      <c r="V32" s="231">
        <v>4.96</v>
      </c>
      <c r="W32" s="221" t="str">
        <f t="shared" si="3"/>
        <v>50.8*43.18*11.43</v>
      </c>
      <c r="X32" s="223">
        <v>20</v>
      </c>
      <c r="Y32" s="223">
        <v>17</v>
      </c>
      <c r="Z32" s="223">
        <v>4.5</v>
      </c>
      <c r="AA32" s="214">
        <f t="shared" si="4"/>
        <v>50.8</v>
      </c>
      <c r="AB32" s="214">
        <f t="shared" si="5"/>
        <v>43.18</v>
      </c>
      <c r="AC32" s="214">
        <f t="shared" si="6"/>
        <v>11.43</v>
      </c>
    </row>
    <row r="33" spans="1:29">
      <c r="A33" s="230">
        <v>21</v>
      </c>
      <c r="B33" s="230"/>
      <c r="C33" s="230">
        <v>21</v>
      </c>
      <c r="D33" s="230"/>
      <c r="E33" s="230"/>
      <c r="F33" s="230"/>
      <c r="G33" s="230"/>
      <c r="H33" s="230">
        <v>39</v>
      </c>
      <c r="I33" s="230"/>
      <c r="J33" s="230"/>
      <c r="K33" s="230"/>
      <c r="L33" s="230">
        <v>39</v>
      </c>
      <c r="M33" s="230"/>
      <c r="N33" s="230"/>
      <c r="O33" s="230"/>
      <c r="P33" s="230"/>
      <c r="Q33" s="230">
        <v>1</v>
      </c>
      <c r="R33" s="230">
        <v>39</v>
      </c>
      <c r="S33" s="222">
        <f t="shared" si="1"/>
        <v>2.0199999999999996</v>
      </c>
      <c r="T33" s="222">
        <f t="shared" si="2"/>
        <v>5.0199999999999996</v>
      </c>
      <c r="U33" s="231">
        <v>2.0199999999999996</v>
      </c>
      <c r="V33" s="231">
        <v>5.0199999999999996</v>
      </c>
      <c r="W33" s="221" t="str">
        <f t="shared" si="3"/>
        <v>50.8*43.18*12.7</v>
      </c>
      <c r="X33" s="223">
        <v>20</v>
      </c>
      <c r="Y33" s="223">
        <v>17</v>
      </c>
      <c r="Z33" s="223">
        <v>5</v>
      </c>
      <c r="AA33" s="214">
        <f t="shared" si="4"/>
        <v>50.8</v>
      </c>
      <c r="AB33" s="214">
        <f t="shared" si="5"/>
        <v>43.18</v>
      </c>
      <c r="AC33" s="214">
        <f t="shared" si="6"/>
        <v>12.7</v>
      </c>
    </row>
    <row r="34" spans="1:29">
      <c r="A34" s="230">
        <v>22</v>
      </c>
      <c r="B34" s="230"/>
      <c r="C34" s="230">
        <v>22</v>
      </c>
      <c r="D34" s="230"/>
      <c r="E34" s="230"/>
      <c r="F34" s="230"/>
      <c r="G34" s="230"/>
      <c r="H34" s="230">
        <v>36</v>
      </c>
      <c r="I34" s="230"/>
      <c r="J34" s="230"/>
      <c r="K34" s="230"/>
      <c r="L34" s="230"/>
      <c r="M34" s="230">
        <v>36</v>
      </c>
      <c r="N34" s="230"/>
      <c r="O34" s="230"/>
      <c r="P34" s="230"/>
      <c r="Q34" s="230">
        <v>1</v>
      </c>
      <c r="R34" s="230">
        <v>36</v>
      </c>
      <c r="S34" s="222">
        <f t="shared" si="1"/>
        <v>2.2800000000000002</v>
      </c>
      <c r="T34" s="222">
        <f t="shared" si="2"/>
        <v>5.28</v>
      </c>
      <c r="U34" s="231">
        <v>2.2800000000000002</v>
      </c>
      <c r="V34" s="231">
        <v>5.28</v>
      </c>
      <c r="W34" s="221" t="str">
        <f t="shared" si="3"/>
        <v>50.8*43.18*12.7</v>
      </c>
      <c r="X34" s="223">
        <v>20</v>
      </c>
      <c r="Y34" s="223">
        <v>17</v>
      </c>
      <c r="Z34" s="223">
        <v>5</v>
      </c>
      <c r="AA34" s="214">
        <f t="shared" si="4"/>
        <v>50.8</v>
      </c>
      <c r="AB34" s="214">
        <f t="shared" si="5"/>
        <v>43.18</v>
      </c>
      <c r="AC34" s="214">
        <f t="shared" si="6"/>
        <v>12.7</v>
      </c>
    </row>
    <row r="35" spans="1:29">
      <c r="A35" s="230">
        <v>23</v>
      </c>
      <c r="B35" s="230"/>
      <c r="C35" s="230">
        <v>23</v>
      </c>
      <c r="D35" s="230" t="s">
        <v>189</v>
      </c>
      <c r="E35" s="230"/>
      <c r="F35" s="230"/>
      <c r="G35" s="230"/>
      <c r="H35" s="230">
        <v>14</v>
      </c>
      <c r="I35" s="230"/>
      <c r="J35" s="230">
        <v>14</v>
      </c>
      <c r="K35" s="230"/>
      <c r="L35" s="230"/>
      <c r="M35" s="230"/>
      <c r="N35" s="230"/>
      <c r="O35" s="230"/>
      <c r="P35" s="230"/>
      <c r="Q35" s="230">
        <v>1</v>
      </c>
      <c r="R35" s="230">
        <v>14</v>
      </c>
      <c r="S35" s="222">
        <f t="shared" si="1"/>
        <v>1.24</v>
      </c>
      <c r="T35" s="222">
        <f t="shared" si="2"/>
        <v>1.68</v>
      </c>
      <c r="U35" s="231">
        <v>1.24</v>
      </c>
      <c r="V35" s="231">
        <v>1.68</v>
      </c>
      <c r="W35" s="221" t="str">
        <f t="shared" si="3"/>
        <v>44.45*25.4*7.62</v>
      </c>
      <c r="X35" s="223">
        <v>17.5</v>
      </c>
      <c r="Y35" s="223">
        <v>10</v>
      </c>
      <c r="Z35" s="223">
        <v>3</v>
      </c>
      <c r="AA35" s="214">
        <f t="shared" si="4"/>
        <v>44.45</v>
      </c>
      <c r="AB35" s="214">
        <f t="shared" si="5"/>
        <v>25.4</v>
      </c>
      <c r="AC35" s="214">
        <f t="shared" si="6"/>
        <v>7.62</v>
      </c>
    </row>
    <row r="36" spans="1:29">
      <c r="A36" s="230">
        <v>24</v>
      </c>
      <c r="B36" s="230"/>
      <c r="C36" s="230">
        <v>24</v>
      </c>
      <c r="D36" s="230" t="s">
        <v>189</v>
      </c>
      <c r="E36" s="230"/>
      <c r="F36" s="230"/>
      <c r="G36" s="230"/>
      <c r="H36" s="230">
        <v>14</v>
      </c>
      <c r="I36" s="230"/>
      <c r="J36" s="230"/>
      <c r="K36" s="230"/>
      <c r="L36" s="230"/>
      <c r="M36" s="230">
        <v>14</v>
      </c>
      <c r="N36" s="230"/>
      <c r="O36" s="230"/>
      <c r="P36" s="230"/>
      <c r="Q36" s="230">
        <v>1</v>
      </c>
      <c r="R36" s="230">
        <v>14</v>
      </c>
      <c r="S36" s="222">
        <f t="shared" si="1"/>
        <v>1.6099999999999999</v>
      </c>
      <c r="T36" s="222">
        <f t="shared" si="2"/>
        <v>2.0499999999999998</v>
      </c>
      <c r="U36" s="231">
        <v>1.6099999999999999</v>
      </c>
      <c r="V36" s="231">
        <v>2.0499999999999998</v>
      </c>
      <c r="W36" s="221" t="str">
        <f t="shared" si="3"/>
        <v>44.45*25.4*7.62</v>
      </c>
      <c r="X36" s="223">
        <v>17.5</v>
      </c>
      <c r="Y36" s="223">
        <v>10</v>
      </c>
      <c r="Z36" s="223">
        <v>3</v>
      </c>
      <c r="AA36" s="214">
        <f t="shared" si="4"/>
        <v>44.45</v>
      </c>
      <c r="AB36" s="214">
        <f t="shared" si="5"/>
        <v>25.4</v>
      </c>
      <c r="AC36" s="214">
        <f t="shared" si="6"/>
        <v>7.62</v>
      </c>
    </row>
    <row r="37" spans="1:29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>
        <v>50</v>
      </c>
      <c r="N37" s="230"/>
      <c r="O37" s="230"/>
      <c r="P37" s="230"/>
      <c r="Q37" s="230"/>
      <c r="R37" s="230"/>
      <c r="S37" s="222"/>
      <c r="T37" s="222"/>
      <c r="U37" s="231"/>
      <c r="V37" s="231"/>
      <c r="W37" s="230"/>
      <c r="X37" s="223"/>
      <c r="Y37" s="223"/>
      <c r="Z37" s="223"/>
    </row>
    <row r="38" spans="1:29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22"/>
      <c r="T38" s="222"/>
      <c r="U38" s="231"/>
      <c r="V38" s="231"/>
      <c r="W38" s="230"/>
    </row>
    <row r="39" spans="1:29" s="216" customFormat="1" ht="14.25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>
        <f>SUM(M19:M38)</f>
        <v>264</v>
      </c>
      <c r="N39" s="232">
        <f>SUM(N19:N38)</f>
        <v>0</v>
      </c>
      <c r="O39" s="232">
        <f>SUM(O19:O38)</f>
        <v>0</v>
      </c>
      <c r="P39" s="232">
        <f>SUM(P19:P38)</f>
        <v>0</v>
      </c>
      <c r="Q39" s="232">
        <f>SUM(Q19:Q38)</f>
        <v>23</v>
      </c>
      <c r="R39" s="232">
        <f>SUM(R19:R38)</f>
        <v>750</v>
      </c>
      <c r="S39" s="232"/>
      <c r="T39" s="305"/>
      <c r="U39" s="232">
        <f>SUM(U19:U38)</f>
        <v>72.539999999999992</v>
      </c>
      <c r="V39" s="305">
        <f>SUM(V19:V38)</f>
        <v>100.07</v>
      </c>
      <c r="W39" s="232"/>
    </row>
    <row r="40" spans="1:29" s="216" customFormat="1" ht="14.25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</row>
    <row r="41" spans="1:29">
      <c r="A41" s="223"/>
      <c r="B41" s="223"/>
      <c r="C41" s="223"/>
      <c r="D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4"/>
      <c r="T41" s="224"/>
      <c r="U41" s="224"/>
      <c r="V41" s="224"/>
      <c r="W41" s="215"/>
    </row>
    <row r="42" spans="1:29">
      <c r="D42" s="234" t="s">
        <v>191</v>
      </c>
      <c r="E42" s="234" t="s">
        <v>181</v>
      </c>
      <c r="F42" s="234" t="s">
        <v>192</v>
      </c>
      <c r="G42" s="234" t="s">
        <v>193</v>
      </c>
      <c r="H42" s="234" t="s">
        <v>59</v>
      </c>
      <c r="I42" s="234" t="s">
        <v>27</v>
      </c>
      <c r="J42" s="234" t="s">
        <v>28</v>
      </c>
      <c r="K42" s="234" t="s">
        <v>29</v>
      </c>
      <c r="L42" s="234" t="s">
        <v>30</v>
      </c>
      <c r="M42" s="234"/>
      <c r="N42" s="234"/>
      <c r="O42" s="234"/>
      <c r="P42" s="234"/>
      <c r="Q42" s="219" t="s">
        <v>31</v>
      </c>
      <c r="R42" s="219" t="s">
        <v>32</v>
      </c>
    </row>
    <row r="43" spans="1:29">
      <c r="D43" s="235" t="s">
        <v>206</v>
      </c>
      <c r="E43" s="235" t="s">
        <v>222</v>
      </c>
      <c r="F43" s="235" t="s">
        <v>220</v>
      </c>
      <c r="G43" s="235" t="s">
        <v>232</v>
      </c>
      <c r="H43" s="230"/>
      <c r="I43" s="230">
        <v>100</v>
      </c>
      <c r="J43" s="230">
        <v>150</v>
      </c>
      <c r="K43" s="230">
        <v>150</v>
      </c>
      <c r="L43" s="230">
        <v>100</v>
      </c>
      <c r="M43" s="234"/>
      <c r="N43" s="234"/>
      <c r="O43" s="234"/>
      <c r="P43" s="234"/>
      <c r="Q43" s="235">
        <v>15</v>
      </c>
      <c r="R43" s="235">
        <v>500</v>
      </c>
      <c r="X43" s="214">
        <f>+SUM(H43:L43)</f>
        <v>500</v>
      </c>
      <c r="Y43" s="214">
        <f>+R43-X43</f>
        <v>0</v>
      </c>
    </row>
    <row r="44" spans="1:29">
      <c r="D44" s="235" t="s">
        <v>206</v>
      </c>
      <c r="E44" s="235" t="s">
        <v>222</v>
      </c>
      <c r="F44" s="235" t="s">
        <v>223</v>
      </c>
      <c r="G44" s="235" t="s">
        <v>258</v>
      </c>
      <c r="H44" s="230"/>
      <c r="I44" s="230">
        <v>50</v>
      </c>
      <c r="J44" s="230">
        <v>75</v>
      </c>
      <c r="K44" s="230">
        <v>75</v>
      </c>
      <c r="L44" s="230">
        <v>50</v>
      </c>
      <c r="M44" s="234"/>
      <c r="N44" s="234"/>
      <c r="O44" s="234"/>
      <c r="P44" s="234"/>
      <c r="Q44" s="235">
        <v>8</v>
      </c>
      <c r="R44" s="235">
        <v>250</v>
      </c>
      <c r="X44" s="214">
        <f>+SUM(H44:L44)</f>
        <v>250</v>
      </c>
      <c r="Y44" s="214">
        <f>+R44-X44</f>
        <v>0</v>
      </c>
    </row>
    <row r="45" spans="1:29"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</row>
    <row r="46" spans="1:29">
      <c r="D46" s="215"/>
      <c r="E46" s="215"/>
      <c r="F46" s="215"/>
      <c r="G46" s="215"/>
      <c r="H46" s="215"/>
      <c r="I46" s="215"/>
      <c r="J46" s="215"/>
      <c r="K46" s="218" t="s">
        <v>33</v>
      </c>
      <c r="L46" s="215"/>
      <c r="M46" s="218"/>
      <c r="N46" s="218"/>
      <c r="O46" s="218"/>
      <c r="P46" s="218"/>
      <c r="Q46" s="218">
        <f>SUM(Q43:Q44)</f>
        <v>23</v>
      </c>
      <c r="R46" s="218">
        <f>SUM(R43:R44)</f>
        <v>750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  <row r="68" s="214" customFormat="1"/>
    <row r="69" s="214" customFormat="1"/>
    <row r="70" s="214" customFormat="1"/>
    <row r="71" s="214" customFormat="1"/>
    <row r="72" s="214" customFormat="1"/>
    <row r="73" s="214" customFormat="1"/>
    <row r="74" s="214" customFormat="1"/>
    <row r="75" s="214" customFormat="1"/>
    <row r="76" s="214" customFormat="1"/>
    <row r="77" s="214" customFormat="1"/>
    <row r="78" s="214" customFormat="1"/>
    <row r="79" s="214" customFormat="1"/>
    <row r="80" s="214" customFormat="1"/>
    <row r="81" s="214" customFormat="1"/>
    <row r="82" s="214" customFormat="1"/>
    <row r="83" s="214" customFormat="1"/>
  </sheetData>
  <autoFilter ref="A18:IU41" xr:uid="{00000000-0009-0000-0000-000004000000}">
    <filterColumn colId="0" showButton="0"/>
    <filterColumn colId="1" showButton="0"/>
  </autoFilter>
  <mergeCells count="6">
    <mergeCell ref="BT6:CH6"/>
    <mergeCell ref="A12:C12"/>
    <mergeCell ref="A14:C14"/>
    <mergeCell ref="A16:C16"/>
    <mergeCell ref="A18:C18"/>
    <mergeCell ref="A4:T4"/>
  </mergeCells>
  <pageMargins left="0.24791666700000001" right="0.24791666700000001" top="0.48402777800000002" bottom="0.48402777800000002" header="0.51180555555555496" footer="0.51180555555555496"/>
  <pageSetup scale="56" fitToHeight="3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3A9E-9402-48BD-B17A-1BC00B3A7BCA}">
  <sheetPr>
    <pageSetUpPr fitToPage="1"/>
  </sheetPr>
  <dimension ref="A1:CH83"/>
  <sheetViews>
    <sheetView view="pageBreakPreview" topLeftCell="A21" zoomScale="70" zoomScaleNormal="70" zoomScaleSheetLayoutView="70" workbookViewId="0">
      <selection activeCell="S47" sqref="S47"/>
    </sheetView>
  </sheetViews>
  <sheetFormatPr defaultColWidth="11.25" defaultRowHeight="15"/>
  <cols>
    <col min="1" max="1" width="11.25" style="214"/>
    <col min="2" max="2" width="5.75" style="214" customWidth="1"/>
    <col min="3" max="3" width="7.625" style="214" customWidth="1"/>
    <col min="4" max="4" width="14.375" style="214" customWidth="1"/>
    <col min="5" max="5" width="10.25" style="214" customWidth="1"/>
    <col min="6" max="6" width="20.25" style="214" bestFit="1" customWidth="1"/>
    <col min="7" max="7" width="11" style="214" customWidth="1"/>
    <col min="8" max="8" width="9.25" style="214" customWidth="1"/>
    <col min="9" max="10" width="5.75" style="214" customWidth="1"/>
    <col min="11" max="11" width="6.75" style="214" customWidth="1"/>
    <col min="12" max="12" width="7.625" style="214" customWidth="1"/>
    <col min="13" max="16" width="7.25" style="214" hidden="1" customWidth="1"/>
    <col min="17" max="18" width="11.25" style="214"/>
    <col min="19" max="19" width="15" style="214" bestFit="1" customWidth="1"/>
    <col min="20" max="20" width="13.75" style="214" bestFit="1" customWidth="1"/>
    <col min="21" max="21" width="14.125" style="214" bestFit="1" customWidth="1"/>
    <col min="22" max="22" width="15" style="214" bestFit="1" customWidth="1"/>
    <col min="23" max="23" width="20.875" style="214" customWidth="1"/>
    <col min="24" max="16384" width="11.25" style="214"/>
  </cols>
  <sheetData>
    <row r="1" spans="1:86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3" spans="1:86">
      <c r="A3" s="215"/>
      <c r="B3" s="215"/>
      <c r="C3" s="215"/>
      <c r="D3" s="215"/>
      <c r="E3" s="215"/>
      <c r="F3" s="215"/>
      <c r="G3" s="215"/>
      <c r="H3" s="215"/>
      <c r="M3" s="215"/>
      <c r="N3" s="215"/>
      <c r="O3" s="215"/>
      <c r="P3" s="215"/>
    </row>
    <row r="4" spans="1:86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</row>
    <row r="5" spans="1:86">
      <c r="H5" s="214" t="s">
        <v>43</v>
      </c>
    </row>
    <row r="6" spans="1:86">
      <c r="A6" s="216" t="s">
        <v>168</v>
      </c>
      <c r="B6" s="216"/>
      <c r="C6" s="216"/>
      <c r="E6" s="214" t="str">
        <f>+'[1]INVOICE 11'!C7</f>
        <v>SUPREME INTERNATIONAL, LLC</v>
      </c>
      <c r="G6" s="217"/>
      <c r="H6" s="214" t="s">
        <v>169</v>
      </c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</row>
    <row r="7" spans="1:86">
      <c r="A7" s="216"/>
      <c r="B7" s="216"/>
      <c r="C7" s="216"/>
      <c r="F7" s="217"/>
      <c r="G7" s="217"/>
      <c r="H7" s="214" t="s">
        <v>170</v>
      </c>
    </row>
    <row r="8" spans="1:86">
      <c r="A8" s="216"/>
      <c r="B8" s="216"/>
      <c r="C8" s="216"/>
      <c r="D8" s="225"/>
      <c r="E8" s="225"/>
      <c r="F8" s="225"/>
      <c r="G8" s="225"/>
      <c r="H8" s="214" t="s">
        <v>45</v>
      </c>
    </row>
    <row r="9" spans="1:86">
      <c r="A9" s="216"/>
      <c r="B9" s="216"/>
      <c r="C9" s="216"/>
      <c r="H9" s="214" t="s">
        <v>171</v>
      </c>
    </row>
    <row r="10" spans="1:86">
      <c r="A10" s="216"/>
      <c r="B10" s="216"/>
      <c r="C10" s="216"/>
      <c r="H10" s="214" t="s">
        <v>172</v>
      </c>
    </row>
    <row r="11" spans="1:86">
      <c r="A11" s="216"/>
      <c r="B11" s="216"/>
      <c r="C11" s="216"/>
    </row>
    <row r="12" spans="1:86">
      <c r="A12" s="291" t="s">
        <v>173</v>
      </c>
      <c r="B12" s="291"/>
      <c r="C12" s="291"/>
      <c r="H12" s="214" t="s">
        <v>174</v>
      </c>
    </row>
    <row r="13" spans="1:86">
      <c r="A13" s="216" t="s">
        <v>175</v>
      </c>
      <c r="B13" s="216" t="s">
        <v>206</v>
      </c>
      <c r="C13" s="216"/>
      <c r="H13" s="214" t="s">
        <v>176</v>
      </c>
    </row>
    <row r="14" spans="1:86">
      <c r="A14" s="291" t="s">
        <v>177</v>
      </c>
      <c r="B14" s="291"/>
      <c r="C14" s="291"/>
      <c r="E14" s="214" t="str">
        <f>+B13</f>
        <v>DV10</v>
      </c>
    </row>
    <row r="15" spans="1:86">
      <c r="A15" s="216" t="s">
        <v>178</v>
      </c>
      <c r="B15" s="216"/>
      <c r="C15" s="216"/>
      <c r="D15" s="214">
        <f>+'INVOICE 94'!M2</f>
        <v>7726477</v>
      </c>
      <c r="E15" s="216"/>
      <c r="S15" s="218"/>
      <c r="T15" s="218"/>
    </row>
    <row r="16" spans="1:86">
      <c r="A16" s="291" t="s">
        <v>179</v>
      </c>
      <c r="B16" s="291"/>
      <c r="C16" s="291"/>
    </row>
    <row r="18" spans="1:29">
      <c r="A18" s="292" t="s">
        <v>180</v>
      </c>
      <c r="B18" s="292"/>
      <c r="C18" s="292"/>
      <c r="D18" s="219" t="s">
        <v>182</v>
      </c>
      <c r="E18" s="219" t="s">
        <v>181</v>
      </c>
      <c r="F18" s="219" t="s">
        <v>183</v>
      </c>
      <c r="G18" s="219" t="s">
        <v>184</v>
      </c>
      <c r="H18" s="219" t="s">
        <v>26</v>
      </c>
      <c r="I18" s="219" t="s">
        <v>59</v>
      </c>
      <c r="J18" s="219" t="s">
        <v>27</v>
      </c>
      <c r="K18" s="219" t="s">
        <v>28</v>
      </c>
      <c r="L18" s="219" t="s">
        <v>29</v>
      </c>
      <c r="M18" s="219">
        <v>4</v>
      </c>
      <c r="N18" s="219">
        <v>5</v>
      </c>
      <c r="O18" s="219">
        <v>6</v>
      </c>
      <c r="P18" s="219" t="s">
        <v>165</v>
      </c>
      <c r="Q18" s="219" t="s">
        <v>31</v>
      </c>
      <c r="R18" s="219" t="s">
        <v>32</v>
      </c>
      <c r="S18" s="219" t="s">
        <v>185</v>
      </c>
      <c r="T18" s="219" t="s">
        <v>186</v>
      </c>
      <c r="U18" s="220" t="s">
        <v>188</v>
      </c>
      <c r="V18" s="219" t="s">
        <v>187</v>
      </c>
      <c r="W18" s="220" t="s">
        <v>203</v>
      </c>
    </row>
    <row r="19" spans="1:29">
      <c r="A19" s="221">
        <v>1</v>
      </c>
      <c r="B19" s="221"/>
      <c r="C19" s="221">
        <v>2</v>
      </c>
      <c r="D19" s="221"/>
      <c r="E19" s="221" t="s">
        <v>222</v>
      </c>
      <c r="F19" s="221" t="s">
        <v>231</v>
      </c>
      <c r="G19" s="221" t="s">
        <v>232</v>
      </c>
      <c r="H19" s="221">
        <v>36</v>
      </c>
      <c r="I19" s="221"/>
      <c r="J19" s="221">
        <v>36</v>
      </c>
      <c r="K19" s="221"/>
      <c r="L19" s="221"/>
      <c r="M19" s="221"/>
      <c r="N19" s="221"/>
      <c r="O19" s="221"/>
      <c r="P19" s="221"/>
      <c r="Q19" s="221">
        <v>2</v>
      </c>
      <c r="R19" s="221">
        <v>72</v>
      </c>
      <c r="S19" s="222">
        <f>+U19/Q19</f>
        <v>3.3200000000000003</v>
      </c>
      <c r="T19" s="222">
        <f>+V19/Q19</f>
        <v>4.32</v>
      </c>
      <c r="U19" s="222">
        <v>6.6400000000000006</v>
      </c>
      <c r="V19" s="222">
        <v>8.64</v>
      </c>
      <c r="W19" s="221" t="str">
        <f>AA19&amp;"*"&amp;AB19&amp;"*"&amp;AC19</f>
        <v>50.8*43.18*11.43</v>
      </c>
      <c r="X19" s="223">
        <v>20</v>
      </c>
      <c r="Y19" s="223">
        <v>17</v>
      </c>
      <c r="Z19" s="223">
        <v>4.5</v>
      </c>
      <c r="AA19" s="214">
        <f>+X19*2.54</f>
        <v>50.8</v>
      </c>
      <c r="AB19" s="214">
        <f t="shared" ref="AB19:AC34" si="0">+Y19*2.54</f>
        <v>43.18</v>
      </c>
      <c r="AC19" s="214">
        <f t="shared" si="0"/>
        <v>11.43</v>
      </c>
    </row>
    <row r="20" spans="1:29">
      <c r="A20" s="221">
        <v>3</v>
      </c>
      <c r="B20" s="221"/>
      <c r="C20" s="221">
        <v>6</v>
      </c>
      <c r="D20" s="221"/>
      <c r="E20" s="221"/>
      <c r="F20" s="221"/>
      <c r="G20" s="221"/>
      <c r="H20" s="221">
        <v>36</v>
      </c>
      <c r="I20" s="221"/>
      <c r="J20" s="221"/>
      <c r="K20" s="221">
        <v>36</v>
      </c>
      <c r="L20" s="221"/>
      <c r="M20" s="221"/>
      <c r="N20" s="221"/>
      <c r="O20" s="221"/>
      <c r="P20" s="221"/>
      <c r="Q20" s="221">
        <v>4</v>
      </c>
      <c r="R20" s="221">
        <v>144</v>
      </c>
      <c r="S20" s="222">
        <f t="shared" ref="S20:S37" si="1">+U20/Q20</f>
        <v>3.6399999999999997</v>
      </c>
      <c r="T20" s="222">
        <f t="shared" ref="T20:T37" si="2">+V20/Q20</f>
        <v>4.6399999999999997</v>
      </c>
      <c r="U20" s="222">
        <v>14.559999999999999</v>
      </c>
      <c r="V20" s="222">
        <v>18.559999999999999</v>
      </c>
      <c r="W20" s="221" t="str">
        <f t="shared" ref="W20:W36" si="3">AA20&amp;"*"&amp;AB20&amp;"*"&amp;AC20</f>
        <v>50.8*43.18*11.43</v>
      </c>
      <c r="X20" s="223">
        <v>20</v>
      </c>
      <c r="Y20" s="223">
        <v>17</v>
      </c>
      <c r="Z20" s="223">
        <v>4.5</v>
      </c>
      <c r="AA20" s="214">
        <f t="shared" ref="AA20:AC36" si="4">+X20*2.54</f>
        <v>50.8</v>
      </c>
      <c r="AB20" s="214">
        <f t="shared" si="0"/>
        <v>43.18</v>
      </c>
      <c r="AC20" s="214">
        <f t="shared" si="0"/>
        <v>11.43</v>
      </c>
    </row>
    <row r="21" spans="1:29">
      <c r="A21" s="230">
        <v>7</v>
      </c>
      <c r="B21" s="230"/>
      <c r="C21" s="230">
        <v>10</v>
      </c>
      <c r="D21" s="230"/>
      <c r="E21" s="230"/>
      <c r="F21" s="230"/>
      <c r="G21" s="230"/>
      <c r="H21" s="230">
        <v>36</v>
      </c>
      <c r="I21" s="230"/>
      <c r="J21" s="230"/>
      <c r="K21" s="230"/>
      <c r="L21" s="230">
        <v>36</v>
      </c>
      <c r="M21" s="230"/>
      <c r="N21" s="230"/>
      <c r="O21" s="230"/>
      <c r="P21" s="230"/>
      <c r="Q21" s="230">
        <v>4</v>
      </c>
      <c r="R21" s="230">
        <v>144</v>
      </c>
      <c r="S21" s="222">
        <f t="shared" si="1"/>
        <v>3.9299999999999997</v>
      </c>
      <c r="T21" s="222">
        <f t="shared" si="2"/>
        <v>4.96</v>
      </c>
      <c r="U21" s="231">
        <v>15.719999999999999</v>
      </c>
      <c r="V21" s="231">
        <v>19.84</v>
      </c>
      <c r="W21" s="221" t="str">
        <f t="shared" si="3"/>
        <v>50.8*43.18*12.7</v>
      </c>
      <c r="X21" s="223">
        <v>20</v>
      </c>
      <c r="Y21" s="223">
        <v>17</v>
      </c>
      <c r="Z21" s="223">
        <v>5</v>
      </c>
      <c r="AA21" s="214">
        <f t="shared" si="4"/>
        <v>50.8</v>
      </c>
      <c r="AB21" s="214">
        <f t="shared" si="0"/>
        <v>43.18</v>
      </c>
      <c r="AC21" s="214">
        <f t="shared" si="0"/>
        <v>12.7</v>
      </c>
    </row>
    <row r="22" spans="1:29">
      <c r="A22" s="230">
        <v>11</v>
      </c>
      <c r="B22" s="230"/>
      <c r="C22" s="230">
        <v>12</v>
      </c>
      <c r="D22" s="230"/>
      <c r="E22" s="230"/>
      <c r="F22" s="230"/>
      <c r="G22" s="230"/>
      <c r="H22" s="230">
        <v>36</v>
      </c>
      <c r="I22" s="230"/>
      <c r="J22" s="230"/>
      <c r="K22" s="230"/>
      <c r="L22" s="230"/>
      <c r="M22" s="230">
        <v>36</v>
      </c>
      <c r="N22" s="230"/>
      <c r="O22" s="230"/>
      <c r="P22" s="230"/>
      <c r="Q22" s="230">
        <v>2</v>
      </c>
      <c r="R22" s="230">
        <v>72</v>
      </c>
      <c r="S22" s="222">
        <f t="shared" si="1"/>
        <v>4.25</v>
      </c>
      <c r="T22" s="222">
        <f t="shared" si="2"/>
        <v>5.28</v>
      </c>
      <c r="U22" s="231">
        <v>8.5</v>
      </c>
      <c r="V22" s="231">
        <v>10.56</v>
      </c>
      <c r="W22" s="221" t="str">
        <f t="shared" si="3"/>
        <v>50.8*43.18*12.7</v>
      </c>
      <c r="X22" s="223">
        <v>20</v>
      </c>
      <c r="Y22" s="223">
        <v>17</v>
      </c>
      <c r="Z22" s="223">
        <v>5</v>
      </c>
      <c r="AA22" s="214">
        <f t="shared" si="4"/>
        <v>50.8</v>
      </c>
      <c r="AB22" s="214">
        <f t="shared" si="0"/>
        <v>43.18</v>
      </c>
      <c r="AC22" s="214">
        <f t="shared" si="0"/>
        <v>12.7</v>
      </c>
    </row>
    <row r="23" spans="1:29">
      <c r="A23" s="230">
        <v>13</v>
      </c>
      <c r="B23" s="230"/>
      <c r="C23" s="230">
        <v>13</v>
      </c>
      <c r="D23" s="230" t="s">
        <v>189</v>
      </c>
      <c r="E23" s="230"/>
      <c r="F23" s="230"/>
      <c r="G23" s="230"/>
      <c r="H23" s="230">
        <v>28</v>
      </c>
      <c r="I23" s="230"/>
      <c r="J23" s="230">
        <v>28</v>
      </c>
      <c r="K23" s="230"/>
      <c r="L23" s="230"/>
      <c r="M23" s="230"/>
      <c r="N23" s="230"/>
      <c r="O23" s="230"/>
      <c r="P23" s="230"/>
      <c r="Q23" s="230">
        <v>1</v>
      </c>
      <c r="R23" s="230">
        <v>28</v>
      </c>
      <c r="S23" s="222">
        <f t="shared" si="1"/>
        <v>2.36</v>
      </c>
      <c r="T23" s="222">
        <f t="shared" si="2"/>
        <v>3.36</v>
      </c>
      <c r="U23" s="231">
        <v>2.36</v>
      </c>
      <c r="V23" s="231">
        <v>3.36</v>
      </c>
      <c r="W23" s="221" t="str">
        <f t="shared" si="3"/>
        <v>50.8*43.18*10.16</v>
      </c>
      <c r="X23" s="223">
        <v>20</v>
      </c>
      <c r="Y23" s="223">
        <v>17</v>
      </c>
      <c r="Z23" s="223">
        <v>4</v>
      </c>
      <c r="AA23" s="214">
        <f t="shared" si="4"/>
        <v>50.8</v>
      </c>
      <c r="AB23" s="214">
        <f t="shared" si="0"/>
        <v>43.18</v>
      </c>
      <c r="AC23" s="214">
        <f t="shared" si="0"/>
        <v>10.16</v>
      </c>
    </row>
    <row r="24" spans="1:29">
      <c r="A24" s="230">
        <v>14</v>
      </c>
      <c r="B24" s="230"/>
      <c r="C24" s="230">
        <v>14</v>
      </c>
      <c r="D24" s="230" t="s">
        <v>189</v>
      </c>
      <c r="E24" s="230"/>
      <c r="F24" s="230"/>
      <c r="G24" s="230"/>
      <c r="H24" s="230">
        <v>28</v>
      </c>
      <c r="I24" s="230"/>
      <c r="J24" s="230"/>
      <c r="K24" s="230"/>
      <c r="L24" s="230"/>
      <c r="M24" s="230">
        <v>28</v>
      </c>
      <c r="N24" s="230"/>
      <c r="O24" s="230"/>
      <c r="P24" s="230"/>
      <c r="Q24" s="230">
        <v>1</v>
      </c>
      <c r="R24" s="230">
        <v>28</v>
      </c>
      <c r="S24" s="222">
        <f t="shared" si="1"/>
        <v>3.0999999999999996</v>
      </c>
      <c r="T24" s="222">
        <f t="shared" si="2"/>
        <v>4.0999999999999996</v>
      </c>
      <c r="U24" s="231">
        <v>3.0999999999999996</v>
      </c>
      <c r="V24" s="231">
        <v>4.0999999999999996</v>
      </c>
      <c r="W24" s="221" t="str">
        <f t="shared" si="3"/>
        <v>50.8*43.18*11.43</v>
      </c>
      <c r="X24" s="223">
        <v>20</v>
      </c>
      <c r="Y24" s="223">
        <v>17</v>
      </c>
      <c r="Z24" s="223">
        <v>4.5</v>
      </c>
      <c r="AA24" s="214">
        <f t="shared" si="4"/>
        <v>50.8</v>
      </c>
      <c r="AB24" s="214">
        <f t="shared" si="0"/>
        <v>43.18</v>
      </c>
      <c r="AC24" s="214">
        <f t="shared" si="0"/>
        <v>11.43</v>
      </c>
    </row>
    <row r="25" spans="1:29">
      <c r="A25" s="230" t="s">
        <v>256</v>
      </c>
      <c r="B25" s="230"/>
      <c r="C25" s="230"/>
      <c r="D25" s="230" t="s">
        <v>198</v>
      </c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22"/>
      <c r="T25" s="222"/>
      <c r="U25" s="231"/>
      <c r="V25" s="231"/>
      <c r="W25" s="221"/>
      <c r="X25" s="223">
        <v>19</v>
      </c>
      <c r="Y25" s="223">
        <v>11</v>
      </c>
      <c r="Z25" s="223">
        <v>4.5</v>
      </c>
      <c r="AA25" s="214">
        <f t="shared" si="4"/>
        <v>48.26</v>
      </c>
      <c r="AB25" s="214">
        <f t="shared" si="0"/>
        <v>27.94</v>
      </c>
      <c r="AC25" s="214">
        <f t="shared" si="0"/>
        <v>11.43</v>
      </c>
    </row>
    <row r="26" spans="1:29">
      <c r="A26" s="230">
        <v>15</v>
      </c>
      <c r="B26" s="230"/>
      <c r="C26" s="230">
        <v>15</v>
      </c>
      <c r="D26" s="230" t="s">
        <v>190</v>
      </c>
      <c r="E26" s="230"/>
      <c r="F26" s="230"/>
      <c r="G26" s="230"/>
      <c r="H26" s="230">
        <v>6</v>
      </c>
      <c r="I26" s="230"/>
      <c r="J26" s="230"/>
      <c r="K26" s="230">
        <v>6</v>
      </c>
      <c r="L26" s="230"/>
      <c r="M26" s="230"/>
      <c r="N26" s="230"/>
      <c r="O26" s="230"/>
      <c r="P26" s="230"/>
      <c r="Q26" s="230">
        <v>1</v>
      </c>
      <c r="R26" s="230">
        <v>6</v>
      </c>
      <c r="S26" s="222">
        <f t="shared" si="1"/>
        <v>1.75</v>
      </c>
      <c r="T26" s="222">
        <f t="shared" si="2"/>
        <v>2.2200000000000002</v>
      </c>
      <c r="U26" s="231">
        <v>1.75</v>
      </c>
      <c r="V26" s="231">
        <v>2.2200000000000002</v>
      </c>
      <c r="W26" s="221" t="str">
        <f t="shared" si="3"/>
        <v>25.4*22.86*8.89</v>
      </c>
      <c r="X26" s="223">
        <v>10</v>
      </c>
      <c r="Y26" s="223">
        <v>9</v>
      </c>
      <c r="Z26" s="223">
        <v>3.5</v>
      </c>
      <c r="AA26" s="214">
        <f t="shared" si="4"/>
        <v>25.4</v>
      </c>
      <c r="AB26" s="214">
        <f t="shared" si="0"/>
        <v>22.86</v>
      </c>
      <c r="AC26" s="214">
        <f t="shared" si="0"/>
        <v>8.89</v>
      </c>
    </row>
    <row r="27" spans="1:29">
      <c r="A27" s="230">
        <v>16</v>
      </c>
      <c r="B27" s="230"/>
      <c r="C27" s="230">
        <v>16</v>
      </c>
      <c r="D27" s="230" t="s">
        <v>190</v>
      </c>
      <c r="E27" s="230"/>
      <c r="F27" s="230"/>
      <c r="G27" s="230"/>
      <c r="H27" s="230">
        <v>6</v>
      </c>
      <c r="I27" s="230"/>
      <c r="J27" s="230"/>
      <c r="K27" s="230"/>
      <c r="L27" s="230">
        <v>6</v>
      </c>
      <c r="M27" s="230"/>
      <c r="N27" s="230"/>
      <c r="O27" s="230"/>
      <c r="P27" s="230"/>
      <c r="Q27" s="230">
        <v>1</v>
      </c>
      <c r="R27" s="230">
        <v>6</v>
      </c>
      <c r="S27" s="222"/>
      <c r="T27" s="222"/>
      <c r="U27" s="231"/>
      <c r="V27" s="231"/>
      <c r="W27" s="221" t="str">
        <f t="shared" si="3"/>
        <v>25.4*22.86*8.89</v>
      </c>
      <c r="X27" s="223">
        <v>10</v>
      </c>
      <c r="Y27" s="223">
        <v>9</v>
      </c>
      <c r="Z27" s="223">
        <v>3.5</v>
      </c>
      <c r="AA27" s="214">
        <f t="shared" si="4"/>
        <v>25.4</v>
      </c>
      <c r="AB27" s="214">
        <f t="shared" si="0"/>
        <v>22.86</v>
      </c>
      <c r="AC27" s="214">
        <f t="shared" si="0"/>
        <v>8.89</v>
      </c>
    </row>
    <row r="28" spans="1:29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>
        <v>100</v>
      </c>
      <c r="N28" s="230"/>
      <c r="O28" s="230"/>
      <c r="P28" s="230"/>
      <c r="Q28" s="230"/>
      <c r="R28" s="230"/>
      <c r="S28" s="222"/>
      <c r="T28" s="222"/>
      <c r="U28" s="231"/>
      <c r="V28" s="231"/>
      <c r="W28" s="221"/>
      <c r="X28" s="223"/>
      <c r="Y28" s="223"/>
      <c r="Z28" s="223"/>
    </row>
    <row r="29" spans="1:29">
      <c r="A29" s="230">
        <v>17</v>
      </c>
      <c r="B29" s="230"/>
      <c r="C29" s="230">
        <v>17</v>
      </c>
      <c r="D29" s="230"/>
      <c r="E29" s="230" t="s">
        <v>222</v>
      </c>
      <c r="F29" s="230" t="s">
        <v>257</v>
      </c>
      <c r="G29" s="230" t="s">
        <v>258</v>
      </c>
      <c r="H29" s="230">
        <v>36</v>
      </c>
      <c r="I29" s="230"/>
      <c r="J29" s="230">
        <v>36</v>
      </c>
      <c r="K29" s="230"/>
      <c r="L29" s="230"/>
      <c r="M29" s="230"/>
      <c r="N29" s="230"/>
      <c r="O29" s="230"/>
      <c r="P29" s="230"/>
      <c r="Q29" s="230">
        <v>1</v>
      </c>
      <c r="R29" s="230">
        <v>36</v>
      </c>
      <c r="S29" s="222">
        <f t="shared" si="1"/>
        <v>3.3200000000000003</v>
      </c>
      <c r="T29" s="222">
        <f t="shared" si="2"/>
        <v>4.32</v>
      </c>
      <c r="U29" s="231">
        <v>3.3200000000000003</v>
      </c>
      <c r="V29" s="231">
        <v>4.32</v>
      </c>
      <c r="W29" s="221" t="str">
        <f t="shared" si="3"/>
        <v>50.8*43.18*11.43</v>
      </c>
      <c r="X29" s="223">
        <v>20</v>
      </c>
      <c r="Y29" s="223">
        <v>17</v>
      </c>
      <c r="Z29" s="223">
        <v>4.5</v>
      </c>
      <c r="AA29" s="214">
        <f t="shared" si="4"/>
        <v>50.8</v>
      </c>
      <c r="AB29" s="214">
        <f t="shared" si="0"/>
        <v>43.18</v>
      </c>
      <c r="AC29" s="214">
        <f t="shared" si="0"/>
        <v>11.43</v>
      </c>
    </row>
    <row r="30" spans="1:29">
      <c r="A30" s="230">
        <v>18</v>
      </c>
      <c r="B30" s="230"/>
      <c r="C30" s="230">
        <v>18</v>
      </c>
      <c r="D30" s="230"/>
      <c r="E30" s="230"/>
      <c r="F30" s="230"/>
      <c r="G30" s="230"/>
      <c r="H30" s="230">
        <v>36</v>
      </c>
      <c r="I30" s="230"/>
      <c r="J30" s="230"/>
      <c r="K30" s="230">
        <v>36</v>
      </c>
      <c r="L30" s="230"/>
      <c r="M30" s="230"/>
      <c r="N30" s="230"/>
      <c r="O30" s="230"/>
      <c r="P30" s="230"/>
      <c r="Q30" s="230">
        <v>1</v>
      </c>
      <c r="R30" s="230">
        <v>36</v>
      </c>
      <c r="S30" s="222">
        <f t="shared" si="1"/>
        <v>3.6399999999999997</v>
      </c>
      <c r="T30" s="222">
        <f t="shared" si="2"/>
        <v>4.6399999999999997</v>
      </c>
      <c r="U30" s="231">
        <v>3.6399999999999997</v>
      </c>
      <c r="V30" s="231">
        <v>4.6399999999999997</v>
      </c>
      <c r="W30" s="221" t="str">
        <f t="shared" si="3"/>
        <v>50.8*43.18*11.43</v>
      </c>
      <c r="X30" s="223">
        <v>20</v>
      </c>
      <c r="Y30" s="223">
        <v>17</v>
      </c>
      <c r="Z30" s="223">
        <v>4.5</v>
      </c>
      <c r="AA30" s="214">
        <f t="shared" si="4"/>
        <v>50.8</v>
      </c>
      <c r="AB30" s="214">
        <f t="shared" si="0"/>
        <v>43.18</v>
      </c>
      <c r="AC30" s="214">
        <f t="shared" si="0"/>
        <v>11.43</v>
      </c>
    </row>
    <row r="31" spans="1:29">
      <c r="A31" s="230">
        <v>19</v>
      </c>
      <c r="B31" s="230"/>
      <c r="C31" s="230">
        <v>19</v>
      </c>
      <c r="D31" s="230"/>
      <c r="E31" s="230"/>
      <c r="F31" s="230"/>
      <c r="G31" s="230"/>
      <c r="H31" s="230">
        <v>39</v>
      </c>
      <c r="I31" s="230"/>
      <c r="J31" s="230"/>
      <c r="K31" s="230">
        <v>39</v>
      </c>
      <c r="L31" s="230"/>
      <c r="M31" s="230"/>
      <c r="N31" s="230"/>
      <c r="O31" s="230"/>
      <c r="P31" s="230"/>
      <c r="Q31" s="230">
        <v>1</v>
      </c>
      <c r="R31" s="230">
        <v>39</v>
      </c>
      <c r="S31" s="222">
        <f t="shared" si="1"/>
        <v>1.8399999999999999</v>
      </c>
      <c r="T31" s="222">
        <f t="shared" si="2"/>
        <v>4.84</v>
      </c>
      <c r="U31" s="231">
        <v>1.8399999999999999</v>
      </c>
      <c r="V31" s="231">
        <v>4.84</v>
      </c>
      <c r="W31" s="221" t="str">
        <f t="shared" si="3"/>
        <v>50.8*43.18*12.7</v>
      </c>
      <c r="X31" s="223">
        <v>20</v>
      </c>
      <c r="Y31" s="223">
        <v>17</v>
      </c>
      <c r="Z31" s="223">
        <v>5</v>
      </c>
      <c r="AA31" s="214">
        <f t="shared" si="4"/>
        <v>50.8</v>
      </c>
      <c r="AB31" s="214">
        <f t="shared" si="0"/>
        <v>43.18</v>
      </c>
      <c r="AC31" s="214">
        <f t="shared" si="0"/>
        <v>12.7</v>
      </c>
    </row>
    <row r="32" spans="1:29">
      <c r="A32" s="230">
        <v>20</v>
      </c>
      <c r="B32" s="230"/>
      <c r="C32" s="230">
        <v>20</v>
      </c>
      <c r="D32" s="230"/>
      <c r="E32" s="230"/>
      <c r="F32" s="230"/>
      <c r="G32" s="230"/>
      <c r="H32" s="230">
        <v>36</v>
      </c>
      <c r="I32" s="230"/>
      <c r="J32" s="230"/>
      <c r="K32" s="230"/>
      <c r="L32" s="230">
        <v>36</v>
      </c>
      <c r="M32" s="230"/>
      <c r="N32" s="230"/>
      <c r="O32" s="230"/>
      <c r="P32" s="230"/>
      <c r="Q32" s="230">
        <v>1</v>
      </c>
      <c r="R32" s="230">
        <v>36</v>
      </c>
      <c r="S32" s="222">
        <f t="shared" si="1"/>
        <v>3.96</v>
      </c>
      <c r="T32" s="222">
        <f t="shared" si="2"/>
        <v>4.96</v>
      </c>
      <c r="U32" s="231">
        <v>3.96</v>
      </c>
      <c r="V32" s="231">
        <v>4.96</v>
      </c>
      <c r="W32" s="221" t="str">
        <f t="shared" si="3"/>
        <v>50.8*43.18*11.43</v>
      </c>
      <c r="X32" s="223">
        <v>20</v>
      </c>
      <c r="Y32" s="223">
        <v>17</v>
      </c>
      <c r="Z32" s="223">
        <v>4.5</v>
      </c>
      <c r="AA32" s="214">
        <f t="shared" si="4"/>
        <v>50.8</v>
      </c>
      <c r="AB32" s="214">
        <f t="shared" si="0"/>
        <v>43.18</v>
      </c>
      <c r="AC32" s="214">
        <f t="shared" si="0"/>
        <v>11.43</v>
      </c>
    </row>
    <row r="33" spans="1:29">
      <c r="A33" s="230">
        <v>21</v>
      </c>
      <c r="B33" s="230"/>
      <c r="C33" s="230">
        <v>21</v>
      </c>
      <c r="D33" s="230"/>
      <c r="E33" s="230"/>
      <c r="F33" s="230"/>
      <c r="G33" s="230"/>
      <c r="H33" s="230">
        <v>39</v>
      </c>
      <c r="I33" s="230"/>
      <c r="J33" s="230"/>
      <c r="K33" s="230"/>
      <c r="L33" s="230">
        <v>39</v>
      </c>
      <c r="M33" s="230"/>
      <c r="N33" s="230"/>
      <c r="O33" s="230"/>
      <c r="P33" s="230"/>
      <c r="Q33" s="230">
        <v>1</v>
      </c>
      <c r="R33" s="230">
        <v>39</v>
      </c>
      <c r="S33" s="222">
        <f t="shared" si="1"/>
        <v>2.0199999999999996</v>
      </c>
      <c r="T33" s="222">
        <f t="shared" si="2"/>
        <v>5.0199999999999996</v>
      </c>
      <c r="U33" s="231">
        <v>2.0199999999999996</v>
      </c>
      <c r="V33" s="231">
        <v>5.0199999999999996</v>
      </c>
      <c r="W33" s="221" t="str">
        <f t="shared" si="3"/>
        <v>50.8*43.18*12.7</v>
      </c>
      <c r="X33" s="223">
        <v>20</v>
      </c>
      <c r="Y33" s="223">
        <v>17</v>
      </c>
      <c r="Z33" s="223">
        <v>5</v>
      </c>
      <c r="AA33" s="214">
        <f t="shared" si="4"/>
        <v>50.8</v>
      </c>
      <c r="AB33" s="214">
        <f t="shared" si="0"/>
        <v>43.18</v>
      </c>
      <c r="AC33" s="214">
        <f t="shared" si="0"/>
        <v>12.7</v>
      </c>
    </row>
    <row r="34" spans="1:29">
      <c r="A34" s="230">
        <v>22</v>
      </c>
      <c r="B34" s="230"/>
      <c r="C34" s="230">
        <v>22</v>
      </c>
      <c r="D34" s="230"/>
      <c r="E34" s="230"/>
      <c r="F34" s="230"/>
      <c r="G34" s="230"/>
      <c r="H34" s="230">
        <v>36</v>
      </c>
      <c r="I34" s="230"/>
      <c r="J34" s="230"/>
      <c r="K34" s="230"/>
      <c r="L34" s="230"/>
      <c r="M34" s="230">
        <v>36</v>
      </c>
      <c r="N34" s="230"/>
      <c r="O34" s="230"/>
      <c r="P34" s="230"/>
      <c r="Q34" s="230">
        <v>1</v>
      </c>
      <c r="R34" s="230">
        <v>36</v>
      </c>
      <c r="S34" s="222">
        <f t="shared" si="1"/>
        <v>2.2800000000000002</v>
      </c>
      <c r="T34" s="222">
        <f t="shared" si="2"/>
        <v>5.28</v>
      </c>
      <c r="U34" s="231">
        <v>2.2800000000000002</v>
      </c>
      <c r="V34" s="231">
        <v>5.28</v>
      </c>
      <c r="W34" s="221" t="str">
        <f t="shared" si="3"/>
        <v>50.8*43.18*12.7</v>
      </c>
      <c r="X34" s="223">
        <v>20</v>
      </c>
      <c r="Y34" s="223">
        <v>17</v>
      </c>
      <c r="Z34" s="223">
        <v>5</v>
      </c>
      <c r="AA34" s="214">
        <f t="shared" si="4"/>
        <v>50.8</v>
      </c>
      <c r="AB34" s="214">
        <f t="shared" si="0"/>
        <v>43.18</v>
      </c>
      <c r="AC34" s="214">
        <f t="shared" si="0"/>
        <v>12.7</v>
      </c>
    </row>
    <row r="35" spans="1:29">
      <c r="A35" s="230">
        <v>23</v>
      </c>
      <c r="B35" s="230"/>
      <c r="C35" s="230">
        <v>23</v>
      </c>
      <c r="D35" s="230" t="s">
        <v>189</v>
      </c>
      <c r="E35" s="230"/>
      <c r="F35" s="230"/>
      <c r="G35" s="230"/>
      <c r="H35" s="230">
        <v>14</v>
      </c>
      <c r="I35" s="230"/>
      <c r="J35" s="230">
        <v>14</v>
      </c>
      <c r="K35" s="230"/>
      <c r="L35" s="230"/>
      <c r="M35" s="230"/>
      <c r="N35" s="230"/>
      <c r="O35" s="230"/>
      <c r="P35" s="230"/>
      <c r="Q35" s="230">
        <v>1</v>
      </c>
      <c r="R35" s="230">
        <v>14</v>
      </c>
      <c r="S35" s="222">
        <f t="shared" si="1"/>
        <v>1.24</v>
      </c>
      <c r="T35" s="222">
        <f t="shared" si="2"/>
        <v>1.68</v>
      </c>
      <c r="U35" s="231">
        <v>1.24</v>
      </c>
      <c r="V35" s="231">
        <v>1.68</v>
      </c>
      <c r="W35" s="221" t="str">
        <f t="shared" si="3"/>
        <v>44.45*25.4*7.62</v>
      </c>
      <c r="X35" s="223">
        <v>17.5</v>
      </c>
      <c r="Y35" s="223">
        <v>10</v>
      </c>
      <c r="Z35" s="223">
        <v>3</v>
      </c>
      <c r="AA35" s="214">
        <f t="shared" si="4"/>
        <v>44.45</v>
      </c>
      <c r="AB35" s="214">
        <f t="shared" si="4"/>
        <v>25.4</v>
      </c>
      <c r="AC35" s="214">
        <f t="shared" si="4"/>
        <v>7.62</v>
      </c>
    </row>
    <row r="36" spans="1:29">
      <c r="A36" s="230">
        <v>24</v>
      </c>
      <c r="B36" s="230"/>
      <c r="C36" s="230">
        <v>24</v>
      </c>
      <c r="D36" s="230" t="s">
        <v>189</v>
      </c>
      <c r="E36" s="230"/>
      <c r="F36" s="230"/>
      <c r="G36" s="230"/>
      <c r="H36" s="230">
        <v>14</v>
      </c>
      <c r="I36" s="230"/>
      <c r="J36" s="230"/>
      <c r="K36" s="230"/>
      <c r="L36" s="230"/>
      <c r="M36" s="230">
        <v>14</v>
      </c>
      <c r="N36" s="230"/>
      <c r="O36" s="230"/>
      <c r="P36" s="230"/>
      <c r="Q36" s="230">
        <v>1</v>
      </c>
      <c r="R36" s="230">
        <v>14</v>
      </c>
      <c r="S36" s="222">
        <f t="shared" si="1"/>
        <v>1.6099999999999999</v>
      </c>
      <c r="T36" s="222">
        <f t="shared" si="2"/>
        <v>2.0499999999999998</v>
      </c>
      <c r="U36" s="231">
        <v>1.6099999999999999</v>
      </c>
      <c r="V36" s="231">
        <v>2.0499999999999998</v>
      </c>
      <c r="W36" s="221" t="str">
        <f t="shared" si="3"/>
        <v>44.45*25.4*7.62</v>
      </c>
      <c r="X36" s="223">
        <v>17.5</v>
      </c>
      <c r="Y36" s="223">
        <v>10</v>
      </c>
      <c r="Z36" s="223">
        <v>3</v>
      </c>
      <c r="AA36" s="214">
        <f t="shared" si="4"/>
        <v>44.45</v>
      </c>
      <c r="AB36" s="214">
        <f t="shared" si="4"/>
        <v>25.4</v>
      </c>
      <c r="AC36" s="214">
        <f t="shared" si="4"/>
        <v>7.62</v>
      </c>
    </row>
    <row r="37" spans="1:29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>
        <v>50</v>
      </c>
      <c r="N37" s="230"/>
      <c r="O37" s="230"/>
      <c r="P37" s="230"/>
      <c r="Q37" s="230"/>
      <c r="R37" s="230"/>
      <c r="S37" s="222"/>
      <c r="T37" s="222"/>
      <c r="U37" s="231"/>
      <c r="V37" s="231"/>
      <c r="W37" s="230"/>
      <c r="X37" s="223"/>
      <c r="Y37" s="223"/>
      <c r="Z37" s="223"/>
    </row>
    <row r="38" spans="1:29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22"/>
      <c r="T38" s="222"/>
      <c r="U38" s="231"/>
      <c r="V38" s="231"/>
      <c r="W38" s="230"/>
    </row>
    <row r="39" spans="1:29" s="216" customFormat="1" ht="14.25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>
        <f>SUM(M19:M38)</f>
        <v>264</v>
      </c>
      <c r="N39" s="232">
        <f>SUM(N19:N38)</f>
        <v>0</v>
      </c>
      <c r="O39" s="232">
        <f>SUM(O19:O38)</f>
        <v>0</v>
      </c>
      <c r="P39" s="232">
        <f>SUM(P19:P38)</f>
        <v>0</v>
      </c>
      <c r="Q39" s="232">
        <f>SUM(Q19:Q38)</f>
        <v>24</v>
      </c>
      <c r="R39" s="232">
        <f>SUM(R19:R38)</f>
        <v>750</v>
      </c>
      <c r="S39" s="232"/>
      <c r="T39" s="305"/>
      <c r="U39" s="232">
        <f>SUM(U19:U38)</f>
        <v>72.539999999999992</v>
      </c>
      <c r="V39" s="305">
        <f>SUM(V19:V38)</f>
        <v>100.07</v>
      </c>
      <c r="W39" s="232"/>
    </row>
    <row r="40" spans="1:29" s="216" customFormat="1" ht="14.25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</row>
    <row r="41" spans="1:29">
      <c r="A41" s="223"/>
      <c r="B41" s="223"/>
      <c r="C41" s="223"/>
      <c r="D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4"/>
      <c r="T41" s="224"/>
      <c r="U41" s="224"/>
      <c r="V41" s="224"/>
      <c r="W41" s="215"/>
    </row>
    <row r="42" spans="1:29">
      <c r="D42" s="234" t="s">
        <v>191</v>
      </c>
      <c r="E42" s="234" t="s">
        <v>181</v>
      </c>
      <c r="F42" s="234" t="s">
        <v>192</v>
      </c>
      <c r="G42" s="234" t="s">
        <v>193</v>
      </c>
      <c r="H42" s="234" t="s">
        <v>59</v>
      </c>
      <c r="I42" s="234" t="s">
        <v>27</v>
      </c>
      <c r="J42" s="234" t="s">
        <v>28</v>
      </c>
      <c r="K42" s="234" t="s">
        <v>29</v>
      </c>
      <c r="L42" s="234" t="s">
        <v>30</v>
      </c>
      <c r="M42" s="234"/>
      <c r="N42" s="234"/>
      <c r="O42" s="234"/>
      <c r="P42" s="234"/>
      <c r="Q42" s="219" t="s">
        <v>31</v>
      </c>
      <c r="R42" s="219" t="s">
        <v>32</v>
      </c>
    </row>
    <row r="43" spans="1:29">
      <c r="D43" s="235" t="s">
        <v>206</v>
      </c>
      <c r="E43" s="235" t="s">
        <v>222</v>
      </c>
      <c r="F43" s="235" t="s">
        <v>220</v>
      </c>
      <c r="G43" s="235" t="s">
        <v>232</v>
      </c>
      <c r="H43" s="230"/>
      <c r="I43" s="230">
        <v>100</v>
      </c>
      <c r="J43" s="230">
        <v>150</v>
      </c>
      <c r="K43" s="230">
        <v>150</v>
      </c>
      <c r="L43" s="230">
        <v>100</v>
      </c>
      <c r="M43" s="234"/>
      <c r="N43" s="234"/>
      <c r="O43" s="234"/>
      <c r="P43" s="234"/>
      <c r="Q43" s="235">
        <v>16</v>
      </c>
      <c r="R43" s="235">
        <v>500</v>
      </c>
      <c r="X43" s="214">
        <f>+SUM(H43:L43)</f>
        <v>500</v>
      </c>
      <c r="Y43" s="214">
        <f>+R43-X43</f>
        <v>0</v>
      </c>
    </row>
    <row r="44" spans="1:29">
      <c r="D44" s="235" t="s">
        <v>206</v>
      </c>
      <c r="E44" s="235" t="s">
        <v>222</v>
      </c>
      <c r="F44" s="235" t="s">
        <v>223</v>
      </c>
      <c r="G44" s="235" t="s">
        <v>258</v>
      </c>
      <c r="H44" s="230"/>
      <c r="I44" s="230">
        <v>50</v>
      </c>
      <c r="J44" s="230">
        <v>75</v>
      </c>
      <c r="K44" s="230">
        <v>75</v>
      </c>
      <c r="L44" s="230">
        <v>50</v>
      </c>
      <c r="M44" s="234"/>
      <c r="N44" s="234"/>
      <c r="O44" s="234"/>
      <c r="P44" s="234"/>
      <c r="Q44" s="235">
        <v>8</v>
      </c>
      <c r="R44" s="235">
        <v>250</v>
      </c>
      <c r="X44" s="214">
        <f>+SUM(H44:L44)</f>
        <v>250</v>
      </c>
      <c r="Y44" s="214">
        <f>+R44-X44</f>
        <v>0</v>
      </c>
    </row>
    <row r="45" spans="1:29"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</row>
    <row r="46" spans="1:29">
      <c r="D46" s="215"/>
      <c r="E46" s="215"/>
      <c r="F46" s="215"/>
      <c r="G46" s="215"/>
      <c r="H46" s="215"/>
      <c r="I46" s="215"/>
      <c r="J46" s="215"/>
      <c r="K46" s="218" t="s">
        <v>33</v>
      </c>
      <c r="L46" s="215"/>
      <c r="M46" s="218"/>
      <c r="N46" s="218"/>
      <c r="O46" s="218"/>
      <c r="P46" s="218"/>
      <c r="Q46" s="218">
        <f>SUM(Q43:Q44)</f>
        <v>24</v>
      </c>
      <c r="R46" s="218">
        <f>SUM(R43:R44)</f>
        <v>750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  <row r="68" s="214" customFormat="1"/>
    <row r="69" s="214" customFormat="1"/>
    <row r="70" s="214" customFormat="1"/>
    <row r="71" s="214" customFormat="1"/>
    <row r="72" s="214" customFormat="1"/>
    <row r="73" s="214" customFormat="1"/>
    <row r="74" s="214" customFormat="1"/>
    <row r="75" s="214" customFormat="1"/>
    <row r="76" s="214" customFormat="1"/>
    <row r="77" s="214" customFormat="1"/>
    <row r="78" s="214" customFormat="1"/>
    <row r="79" s="214" customFormat="1"/>
    <row r="80" s="214" customFormat="1"/>
    <row r="81" s="214" customFormat="1"/>
    <row r="82" s="214" customFormat="1"/>
    <row r="83" s="214" customFormat="1"/>
  </sheetData>
  <autoFilter ref="A18:ID18" xr:uid="{00000000-0009-0000-0000-000005000000}">
    <filterColumn colId="0" showButton="0"/>
    <filterColumn colId="1" showButton="0"/>
  </autoFilter>
  <mergeCells count="6">
    <mergeCell ref="A18:C18"/>
    <mergeCell ref="A4:T4"/>
    <mergeCell ref="BT6:CH6"/>
    <mergeCell ref="A12:C12"/>
    <mergeCell ref="A14:C14"/>
    <mergeCell ref="A16:C16"/>
  </mergeCells>
  <pageMargins left="0.24791666700000001" right="0.24791666700000001" top="0.98402777777777795" bottom="0.98402777777777795" header="0.51180555555555496" footer="0.51180555555555496"/>
  <pageSetup scale="56" fitToHeight="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575B-A60C-4550-B04A-C33AB12188C2}">
  <sheetPr>
    <pageSetUpPr fitToPage="1"/>
  </sheetPr>
  <dimension ref="A1:CH83"/>
  <sheetViews>
    <sheetView view="pageBreakPreview" topLeftCell="A21" zoomScale="70" zoomScaleNormal="70" zoomScaleSheetLayoutView="70" workbookViewId="0">
      <selection activeCell="I35" sqref="I35"/>
    </sheetView>
  </sheetViews>
  <sheetFormatPr defaultColWidth="11.25" defaultRowHeight="15"/>
  <cols>
    <col min="1" max="1" width="11.25" style="214"/>
    <col min="2" max="2" width="5.75" style="214" customWidth="1"/>
    <col min="3" max="3" width="7.625" style="214" customWidth="1"/>
    <col min="4" max="4" width="14.375" style="214" customWidth="1"/>
    <col min="5" max="5" width="10.25" style="214" customWidth="1"/>
    <col min="6" max="6" width="20.25" style="214" bestFit="1" customWidth="1"/>
    <col min="7" max="7" width="11" style="214" customWidth="1"/>
    <col min="8" max="8" width="9.25" style="214" customWidth="1"/>
    <col min="9" max="10" width="5.75" style="214" customWidth="1"/>
    <col min="11" max="11" width="6.75" style="214" customWidth="1"/>
    <col min="12" max="12" width="7.625" style="214" customWidth="1"/>
    <col min="13" max="16" width="7.25" style="214" hidden="1" customWidth="1"/>
    <col min="17" max="18" width="11.25" style="214"/>
    <col min="19" max="19" width="15" style="214" bestFit="1" customWidth="1"/>
    <col min="20" max="20" width="13.75" style="214" bestFit="1" customWidth="1"/>
    <col min="21" max="21" width="14.125" style="214" bestFit="1" customWidth="1"/>
    <col min="22" max="22" width="15" style="214" bestFit="1" customWidth="1"/>
    <col min="23" max="23" width="20.875" style="214" customWidth="1"/>
    <col min="24" max="24" width="11.25" style="214"/>
    <col min="25" max="28" width="11.25" style="214" customWidth="1"/>
    <col min="29" max="16384" width="11.25" style="214"/>
  </cols>
  <sheetData>
    <row r="1" spans="1:86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3" spans="1:86">
      <c r="A3" s="215"/>
      <c r="B3" s="215"/>
      <c r="C3" s="215"/>
      <c r="D3" s="215"/>
      <c r="E3" s="215"/>
      <c r="F3" s="215"/>
      <c r="G3" s="215"/>
      <c r="H3" s="215"/>
      <c r="M3" s="215"/>
      <c r="N3" s="215"/>
      <c r="O3" s="215"/>
      <c r="P3" s="215"/>
    </row>
    <row r="4" spans="1:86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</row>
    <row r="5" spans="1:86">
      <c r="H5" s="214" t="s">
        <v>43</v>
      </c>
    </row>
    <row r="6" spans="1:86">
      <c r="A6" s="216" t="s">
        <v>168</v>
      </c>
      <c r="B6" s="216"/>
      <c r="C6" s="216"/>
      <c r="E6" s="214" t="str">
        <f>+'[1]INVOICE 11'!C7</f>
        <v>SUPREME INTERNATIONAL, LLC</v>
      </c>
      <c r="G6" s="217"/>
      <c r="H6" s="214" t="s">
        <v>169</v>
      </c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</row>
    <row r="7" spans="1:86">
      <c r="A7" s="216"/>
      <c r="B7" s="216"/>
      <c r="C7" s="216"/>
      <c r="F7" s="217"/>
      <c r="G7" s="217"/>
      <c r="H7" s="214" t="s">
        <v>170</v>
      </c>
    </row>
    <row r="8" spans="1:86">
      <c r="A8" s="216"/>
      <c r="B8" s="216"/>
      <c r="C8" s="216"/>
      <c r="D8" s="225"/>
      <c r="E8" s="225"/>
      <c r="F8" s="225"/>
      <c r="G8" s="225"/>
      <c r="H8" s="214" t="s">
        <v>45</v>
      </c>
    </row>
    <row r="9" spans="1:86">
      <c r="A9" s="216"/>
      <c r="B9" s="216"/>
      <c r="C9" s="216"/>
      <c r="H9" s="214" t="s">
        <v>171</v>
      </c>
    </row>
    <row r="10" spans="1:86">
      <c r="A10" s="216"/>
      <c r="B10" s="216"/>
      <c r="C10" s="216"/>
      <c r="H10" s="214" t="s">
        <v>172</v>
      </c>
    </row>
    <row r="11" spans="1:86">
      <c r="A11" s="216"/>
      <c r="B11" s="216"/>
      <c r="C11" s="216"/>
    </row>
    <row r="12" spans="1:86">
      <c r="A12" s="291" t="s">
        <v>173</v>
      </c>
      <c r="B12" s="291"/>
      <c r="C12" s="291"/>
      <c r="H12" s="214" t="s">
        <v>174</v>
      </c>
    </row>
    <row r="13" spans="1:86">
      <c r="A13" s="216" t="s">
        <v>175</v>
      </c>
      <c r="B13" s="216" t="s">
        <v>207</v>
      </c>
      <c r="C13" s="216"/>
      <c r="H13" s="214" t="s">
        <v>176</v>
      </c>
    </row>
    <row r="14" spans="1:86">
      <c r="A14" s="291" t="s">
        <v>177</v>
      </c>
      <c r="B14" s="291"/>
      <c r="C14" s="291"/>
      <c r="E14" s="214" t="str">
        <f>+B13</f>
        <v>DV6</v>
      </c>
    </row>
    <row r="15" spans="1:86">
      <c r="A15" s="216" t="s">
        <v>178</v>
      </c>
      <c r="B15" s="216"/>
      <c r="C15" s="216"/>
      <c r="D15" s="214">
        <f>+'INVOICE 94'!M2</f>
        <v>7726477</v>
      </c>
      <c r="E15" s="216"/>
      <c r="S15" s="218"/>
      <c r="T15" s="218"/>
    </row>
    <row r="16" spans="1:86">
      <c r="A16" s="291" t="s">
        <v>179</v>
      </c>
      <c r="B16" s="291"/>
      <c r="C16" s="291"/>
    </row>
    <row r="18" spans="1:29">
      <c r="A18" s="292" t="s">
        <v>180</v>
      </c>
      <c r="B18" s="292"/>
      <c r="C18" s="292"/>
      <c r="D18" s="219" t="s">
        <v>182</v>
      </c>
      <c r="E18" s="219" t="s">
        <v>181</v>
      </c>
      <c r="F18" s="219" t="s">
        <v>183</v>
      </c>
      <c r="G18" s="219" t="s">
        <v>184</v>
      </c>
      <c r="H18" s="219" t="s">
        <v>26</v>
      </c>
      <c r="I18" s="219" t="s">
        <v>59</v>
      </c>
      <c r="J18" s="219" t="s">
        <v>27</v>
      </c>
      <c r="K18" s="219" t="s">
        <v>28</v>
      </c>
      <c r="L18" s="219" t="s">
        <v>29</v>
      </c>
      <c r="M18" s="219">
        <v>4</v>
      </c>
      <c r="N18" s="219">
        <v>5</v>
      </c>
      <c r="O18" s="219">
        <v>6</v>
      </c>
      <c r="P18" s="219" t="s">
        <v>165</v>
      </c>
      <c r="Q18" s="219" t="s">
        <v>31</v>
      </c>
      <c r="R18" s="219" t="s">
        <v>32</v>
      </c>
      <c r="S18" s="219" t="s">
        <v>185</v>
      </c>
      <c r="T18" s="219" t="s">
        <v>186</v>
      </c>
      <c r="U18" s="220" t="s">
        <v>188</v>
      </c>
      <c r="V18" s="219" t="s">
        <v>187</v>
      </c>
      <c r="W18" s="220" t="s">
        <v>203</v>
      </c>
    </row>
    <row r="19" spans="1:29">
      <c r="A19" s="221">
        <v>1</v>
      </c>
      <c r="B19" s="221"/>
      <c r="C19" s="221">
        <v>5</v>
      </c>
      <c r="D19" s="221"/>
      <c r="E19" s="221" t="s">
        <v>222</v>
      </c>
      <c r="F19" s="221" t="s">
        <v>231</v>
      </c>
      <c r="G19" s="221" t="s">
        <v>232</v>
      </c>
      <c r="H19" s="221">
        <v>36</v>
      </c>
      <c r="I19" s="221"/>
      <c r="J19" s="221">
        <v>36</v>
      </c>
      <c r="K19" s="221"/>
      <c r="L19" s="221"/>
      <c r="M19" s="221"/>
      <c r="N19" s="221"/>
      <c r="O19" s="221"/>
      <c r="P19" s="221"/>
      <c r="Q19" s="221">
        <v>5</v>
      </c>
      <c r="R19" s="221">
        <v>180</v>
      </c>
      <c r="S19" s="222">
        <f>+U19/Q19</f>
        <v>3.3200000000000003</v>
      </c>
      <c r="T19" s="222">
        <f>+V19/Q19</f>
        <v>4.32</v>
      </c>
      <c r="U19" s="222">
        <v>16.600000000000001</v>
      </c>
      <c r="V19" s="222">
        <v>21.6</v>
      </c>
      <c r="W19" s="221" t="str">
        <f>AA19&amp;"*"&amp;AB19&amp;"*"&amp;AC19</f>
        <v>50.8*43.18*11.43</v>
      </c>
      <c r="X19" s="223">
        <v>20</v>
      </c>
      <c r="Y19" s="223">
        <v>17</v>
      </c>
      <c r="Z19" s="223">
        <v>4.5</v>
      </c>
      <c r="AA19" s="214">
        <f>+X19*2.54</f>
        <v>50.8</v>
      </c>
      <c r="AB19" s="214">
        <f t="shared" ref="AB19:AC34" si="0">+Y19*2.54</f>
        <v>43.18</v>
      </c>
      <c r="AC19" s="214">
        <f t="shared" si="0"/>
        <v>11.43</v>
      </c>
    </row>
    <row r="20" spans="1:29">
      <c r="A20" s="221">
        <v>6</v>
      </c>
      <c r="B20" s="221"/>
      <c r="C20" s="221">
        <v>13</v>
      </c>
      <c r="D20" s="221"/>
      <c r="E20" s="221"/>
      <c r="F20" s="221"/>
      <c r="G20" s="221"/>
      <c r="H20" s="221">
        <v>36</v>
      </c>
      <c r="I20" s="221"/>
      <c r="J20" s="221"/>
      <c r="K20" s="221">
        <v>36</v>
      </c>
      <c r="L20" s="221"/>
      <c r="M20" s="221"/>
      <c r="N20" s="221"/>
      <c r="O20" s="221"/>
      <c r="P20" s="221"/>
      <c r="Q20" s="221">
        <v>8</v>
      </c>
      <c r="R20" s="221">
        <v>288</v>
      </c>
      <c r="S20" s="222">
        <f t="shared" ref="S20:S36" si="1">+U20/Q20</f>
        <v>3.6399999999999997</v>
      </c>
      <c r="T20" s="222">
        <f t="shared" ref="T20:T36" si="2">+V20/Q20</f>
        <v>4.6399999999999997</v>
      </c>
      <c r="U20" s="222">
        <v>29.119999999999997</v>
      </c>
      <c r="V20" s="222">
        <v>37.119999999999997</v>
      </c>
      <c r="W20" s="221" t="str">
        <f t="shared" ref="W20:W36" si="3">AA20&amp;"*"&amp;AB20&amp;"*"&amp;AC20</f>
        <v>50.8*43.18*11.43</v>
      </c>
      <c r="X20" s="223">
        <v>20</v>
      </c>
      <c r="Y20" s="223">
        <v>17</v>
      </c>
      <c r="Z20" s="223">
        <v>4.5</v>
      </c>
      <c r="AA20" s="214">
        <f t="shared" ref="AA20:AC36" si="4">+X20*2.54</f>
        <v>50.8</v>
      </c>
      <c r="AB20" s="214">
        <f t="shared" si="0"/>
        <v>43.18</v>
      </c>
      <c r="AC20" s="214">
        <f t="shared" si="0"/>
        <v>11.43</v>
      </c>
    </row>
    <row r="21" spans="1:29">
      <c r="A21" s="230">
        <v>14</v>
      </c>
      <c r="B21" s="230"/>
      <c r="C21" s="230">
        <v>21</v>
      </c>
      <c r="D21" s="230"/>
      <c r="E21" s="230"/>
      <c r="F21" s="230"/>
      <c r="G21" s="230"/>
      <c r="H21" s="230">
        <v>36</v>
      </c>
      <c r="I21" s="230"/>
      <c r="J21" s="230"/>
      <c r="K21" s="230"/>
      <c r="L21" s="230">
        <v>36</v>
      </c>
      <c r="M21" s="230"/>
      <c r="N21" s="230"/>
      <c r="O21" s="230"/>
      <c r="P21" s="230"/>
      <c r="Q21" s="230">
        <v>8</v>
      </c>
      <c r="R21" s="230">
        <v>288</v>
      </c>
      <c r="S21" s="222">
        <f t="shared" si="1"/>
        <v>3.9299999999999997</v>
      </c>
      <c r="T21" s="222">
        <f t="shared" si="2"/>
        <v>4.96</v>
      </c>
      <c r="U21" s="231">
        <v>31.439999999999998</v>
      </c>
      <c r="V21" s="231">
        <v>39.68</v>
      </c>
      <c r="W21" s="221" t="str">
        <f t="shared" si="3"/>
        <v>50.8*43.18*12.7</v>
      </c>
      <c r="X21" s="223">
        <v>20</v>
      </c>
      <c r="Y21" s="223">
        <v>17</v>
      </c>
      <c r="Z21" s="223">
        <v>5</v>
      </c>
      <c r="AA21" s="214">
        <f t="shared" si="4"/>
        <v>50.8</v>
      </c>
      <c r="AB21" s="214">
        <f t="shared" si="0"/>
        <v>43.18</v>
      </c>
      <c r="AC21" s="214">
        <f t="shared" si="0"/>
        <v>12.7</v>
      </c>
    </row>
    <row r="22" spans="1:29">
      <c r="A22" s="230">
        <v>22</v>
      </c>
      <c r="B22" s="230"/>
      <c r="C22" s="230">
        <v>26</v>
      </c>
      <c r="D22" s="230"/>
      <c r="E22" s="230"/>
      <c r="F22" s="230"/>
      <c r="G22" s="230"/>
      <c r="H22" s="230">
        <v>36</v>
      </c>
      <c r="I22" s="230"/>
      <c r="J22" s="230"/>
      <c r="K22" s="230"/>
      <c r="L22" s="230"/>
      <c r="M22" s="230">
        <v>36</v>
      </c>
      <c r="N22" s="230"/>
      <c r="O22" s="230"/>
      <c r="P22" s="230"/>
      <c r="Q22" s="230">
        <v>5</v>
      </c>
      <c r="R22" s="230">
        <v>180</v>
      </c>
      <c r="S22" s="222">
        <f t="shared" si="1"/>
        <v>4.25</v>
      </c>
      <c r="T22" s="222">
        <f t="shared" si="2"/>
        <v>5.28</v>
      </c>
      <c r="U22" s="231">
        <v>21.25</v>
      </c>
      <c r="V22" s="231">
        <v>26.400000000000002</v>
      </c>
      <c r="W22" s="221" t="str">
        <f t="shared" si="3"/>
        <v>50.8*43.18*12.7</v>
      </c>
      <c r="X22" s="223">
        <v>20</v>
      </c>
      <c r="Y22" s="223">
        <v>17</v>
      </c>
      <c r="Z22" s="223">
        <v>5</v>
      </c>
      <c r="AA22" s="214">
        <f t="shared" si="4"/>
        <v>50.8</v>
      </c>
      <c r="AB22" s="214">
        <f t="shared" si="0"/>
        <v>43.18</v>
      </c>
      <c r="AC22" s="214">
        <f t="shared" si="0"/>
        <v>12.7</v>
      </c>
    </row>
    <row r="23" spans="1:29">
      <c r="A23" s="230">
        <v>27</v>
      </c>
      <c r="B23" s="230"/>
      <c r="C23" s="230">
        <v>27</v>
      </c>
      <c r="D23" s="230" t="s">
        <v>189</v>
      </c>
      <c r="E23" s="230"/>
      <c r="F23" s="230"/>
      <c r="G23" s="230"/>
      <c r="H23" s="230">
        <v>18</v>
      </c>
      <c r="I23" s="230"/>
      <c r="J23" s="230">
        <v>18</v>
      </c>
      <c r="K23" s="230"/>
      <c r="L23" s="230"/>
      <c r="M23" s="230"/>
      <c r="N23" s="230"/>
      <c r="O23" s="230"/>
      <c r="P23" s="230"/>
      <c r="Q23" s="230">
        <v>1</v>
      </c>
      <c r="R23" s="230">
        <v>18</v>
      </c>
      <c r="S23" s="222">
        <f t="shared" si="1"/>
        <v>1.66</v>
      </c>
      <c r="T23" s="222">
        <f t="shared" si="2"/>
        <v>2.23</v>
      </c>
      <c r="U23" s="231">
        <v>1.66</v>
      </c>
      <c r="V23" s="231">
        <v>2.23</v>
      </c>
      <c r="W23" s="221" t="str">
        <f t="shared" si="3"/>
        <v>50.8*43.18*7.62</v>
      </c>
      <c r="X23" s="223">
        <v>20</v>
      </c>
      <c r="Y23" s="223">
        <v>17</v>
      </c>
      <c r="Z23" s="223">
        <v>3</v>
      </c>
      <c r="AA23" s="214">
        <f t="shared" si="4"/>
        <v>50.8</v>
      </c>
      <c r="AB23" s="214">
        <f t="shared" si="0"/>
        <v>43.18</v>
      </c>
      <c r="AC23" s="214">
        <f t="shared" si="0"/>
        <v>7.62</v>
      </c>
    </row>
    <row r="24" spans="1:29">
      <c r="A24" s="230">
        <v>28</v>
      </c>
      <c r="B24" s="230"/>
      <c r="C24" s="230">
        <v>28</v>
      </c>
      <c r="D24" s="230" t="s">
        <v>189</v>
      </c>
      <c r="E24" s="230"/>
      <c r="F24" s="230"/>
      <c r="G24" s="230"/>
      <c r="H24" s="230">
        <v>9</v>
      </c>
      <c r="I24" s="230"/>
      <c r="J24" s="230"/>
      <c r="K24" s="230">
        <v>9</v>
      </c>
      <c r="L24" s="230"/>
      <c r="M24" s="230"/>
      <c r="N24" s="230"/>
      <c r="O24" s="230"/>
      <c r="P24" s="230"/>
      <c r="Q24" s="230">
        <v>1</v>
      </c>
      <c r="R24" s="230">
        <v>9</v>
      </c>
      <c r="S24" s="222">
        <f t="shared" si="1"/>
        <v>0.91</v>
      </c>
      <c r="T24" s="222">
        <f t="shared" si="2"/>
        <v>1.66</v>
      </c>
      <c r="U24" s="231">
        <v>0.91</v>
      </c>
      <c r="V24" s="231">
        <v>1.66</v>
      </c>
      <c r="W24" s="221" t="str">
        <f t="shared" si="3"/>
        <v>44.45*25.4*7.62</v>
      </c>
      <c r="X24" s="223">
        <v>17.5</v>
      </c>
      <c r="Y24" s="223">
        <v>10</v>
      </c>
      <c r="Z24" s="223">
        <v>3</v>
      </c>
      <c r="AA24" s="214">
        <f t="shared" si="4"/>
        <v>44.45</v>
      </c>
      <c r="AB24" s="214">
        <f t="shared" si="0"/>
        <v>25.4</v>
      </c>
      <c r="AC24" s="214">
        <f t="shared" si="0"/>
        <v>7.62</v>
      </c>
    </row>
    <row r="25" spans="1:29">
      <c r="A25" s="230">
        <v>29</v>
      </c>
      <c r="B25" s="230"/>
      <c r="C25" s="230">
        <v>29</v>
      </c>
      <c r="D25" s="230" t="s">
        <v>189</v>
      </c>
      <c r="E25" s="230"/>
      <c r="F25" s="230"/>
      <c r="G25" s="230"/>
      <c r="H25" s="230">
        <v>9</v>
      </c>
      <c r="I25" s="230"/>
      <c r="J25" s="230"/>
      <c r="K25" s="230"/>
      <c r="L25" s="230">
        <v>9</v>
      </c>
      <c r="M25" s="230"/>
      <c r="N25" s="230"/>
      <c r="O25" s="230"/>
      <c r="P25" s="230"/>
      <c r="Q25" s="230">
        <v>1</v>
      </c>
      <c r="R25" s="230">
        <v>9</v>
      </c>
      <c r="S25" s="222">
        <f t="shared" si="1"/>
        <v>0.98</v>
      </c>
      <c r="T25" s="222">
        <f t="shared" si="2"/>
        <v>1.72</v>
      </c>
      <c r="U25" s="231">
        <v>0.98</v>
      </c>
      <c r="V25" s="231">
        <v>1.72</v>
      </c>
      <c r="W25" s="221" t="str">
        <f t="shared" si="3"/>
        <v>44.45*25.4*7.62</v>
      </c>
      <c r="X25" s="223">
        <v>17.5</v>
      </c>
      <c r="Y25" s="223">
        <v>10</v>
      </c>
      <c r="Z25" s="223">
        <v>3</v>
      </c>
      <c r="AA25" s="214">
        <f t="shared" si="4"/>
        <v>44.45</v>
      </c>
      <c r="AB25" s="214">
        <f t="shared" si="0"/>
        <v>25.4</v>
      </c>
      <c r="AC25" s="214">
        <f t="shared" si="0"/>
        <v>7.62</v>
      </c>
    </row>
    <row r="26" spans="1:29">
      <c r="A26" s="230">
        <v>30</v>
      </c>
      <c r="B26" s="230"/>
      <c r="C26" s="230">
        <v>30</v>
      </c>
      <c r="D26" s="230" t="s">
        <v>189</v>
      </c>
      <c r="E26" s="230"/>
      <c r="F26" s="230"/>
      <c r="G26" s="230"/>
      <c r="H26" s="230">
        <v>18</v>
      </c>
      <c r="I26" s="230"/>
      <c r="J26" s="230"/>
      <c r="K26" s="230"/>
      <c r="L26" s="230"/>
      <c r="M26" s="230">
        <v>18</v>
      </c>
      <c r="N26" s="230"/>
      <c r="O26" s="230"/>
      <c r="P26" s="230"/>
      <c r="Q26" s="230">
        <v>1</v>
      </c>
      <c r="R26" s="230">
        <v>18</v>
      </c>
      <c r="S26" s="222">
        <f t="shared" si="1"/>
        <v>2.12</v>
      </c>
      <c r="T26" s="222">
        <f t="shared" si="2"/>
        <v>3.04</v>
      </c>
      <c r="U26" s="231">
        <v>2.12</v>
      </c>
      <c r="V26" s="231">
        <v>3.04</v>
      </c>
      <c r="W26" s="221" t="str">
        <f t="shared" si="3"/>
        <v>50.8*43.18*7.62</v>
      </c>
      <c r="X26" s="223">
        <v>20</v>
      </c>
      <c r="Y26" s="223">
        <v>17</v>
      </c>
      <c r="Z26" s="223">
        <v>3</v>
      </c>
      <c r="AA26" s="214">
        <f t="shared" si="4"/>
        <v>50.8</v>
      </c>
      <c r="AB26" s="214">
        <f t="shared" si="0"/>
        <v>43.18</v>
      </c>
      <c r="AC26" s="214">
        <f t="shared" si="0"/>
        <v>7.62</v>
      </c>
    </row>
    <row r="27" spans="1:29">
      <c r="A27" s="230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>
        <v>198</v>
      </c>
      <c r="N27" s="230"/>
      <c r="O27" s="230"/>
      <c r="P27" s="230"/>
      <c r="Q27" s="230"/>
      <c r="R27" s="230"/>
      <c r="S27" s="222"/>
      <c r="T27" s="222"/>
      <c r="U27" s="231"/>
      <c r="V27" s="231"/>
      <c r="W27" s="221"/>
      <c r="X27" s="223"/>
      <c r="Y27" s="223"/>
      <c r="Z27" s="223"/>
      <c r="AA27" s="214">
        <f t="shared" ref="AA27:AA33" si="5">+X27*2.54</f>
        <v>0</v>
      </c>
      <c r="AB27" s="214">
        <f t="shared" ref="AB27:AB33" si="6">+Y27*2.54</f>
        <v>0</v>
      </c>
      <c r="AC27" s="214">
        <f t="shared" ref="AC27:AC33" si="7">+Z27*2.54</f>
        <v>0</v>
      </c>
    </row>
    <row r="28" spans="1:29">
      <c r="A28" s="230">
        <v>31</v>
      </c>
      <c r="B28" s="230"/>
      <c r="C28" s="230">
        <v>32</v>
      </c>
      <c r="D28" s="230"/>
      <c r="E28" s="230" t="s">
        <v>222</v>
      </c>
      <c r="F28" s="230" t="s">
        <v>257</v>
      </c>
      <c r="G28" s="230" t="s">
        <v>258</v>
      </c>
      <c r="H28" s="230">
        <v>36</v>
      </c>
      <c r="I28" s="230"/>
      <c r="J28" s="230">
        <v>36</v>
      </c>
      <c r="K28" s="230"/>
      <c r="L28" s="230"/>
      <c r="M28" s="230"/>
      <c r="N28" s="230"/>
      <c r="O28" s="230"/>
      <c r="P28" s="230"/>
      <c r="Q28" s="230">
        <v>2</v>
      </c>
      <c r="R28" s="230">
        <v>72</v>
      </c>
      <c r="S28" s="222">
        <f t="shared" si="1"/>
        <v>3.3200000000000003</v>
      </c>
      <c r="T28" s="222">
        <f t="shared" si="2"/>
        <v>4.32</v>
      </c>
      <c r="U28" s="231">
        <v>6.6400000000000006</v>
      </c>
      <c r="V28" s="231">
        <v>8.64</v>
      </c>
      <c r="W28" s="221" t="str">
        <f t="shared" si="3"/>
        <v>50.8*43.18*11.43</v>
      </c>
      <c r="X28" s="223">
        <v>20</v>
      </c>
      <c r="Y28" s="223">
        <v>17</v>
      </c>
      <c r="Z28" s="223">
        <v>4.5</v>
      </c>
      <c r="AA28" s="214">
        <f t="shared" si="5"/>
        <v>50.8</v>
      </c>
      <c r="AB28" s="214">
        <f t="shared" si="6"/>
        <v>43.18</v>
      </c>
      <c r="AC28" s="214">
        <f t="shared" si="7"/>
        <v>11.43</v>
      </c>
    </row>
    <row r="29" spans="1:29">
      <c r="A29" s="230">
        <v>33</v>
      </c>
      <c r="B29" s="230"/>
      <c r="C29" s="230">
        <v>36</v>
      </c>
      <c r="D29" s="230"/>
      <c r="E29" s="230"/>
      <c r="F29" s="230"/>
      <c r="G29" s="230"/>
      <c r="H29" s="230">
        <v>36</v>
      </c>
      <c r="I29" s="230"/>
      <c r="J29" s="230"/>
      <c r="K29" s="230">
        <v>36</v>
      </c>
      <c r="L29" s="230"/>
      <c r="M29" s="230"/>
      <c r="N29" s="230"/>
      <c r="O29" s="230"/>
      <c r="P29" s="230"/>
      <c r="Q29" s="230">
        <v>4</v>
      </c>
      <c r="R29" s="230">
        <v>144</v>
      </c>
      <c r="S29" s="222">
        <f t="shared" si="1"/>
        <v>3.6399999999999997</v>
      </c>
      <c r="T29" s="222">
        <f t="shared" si="2"/>
        <v>4.6399999999999997</v>
      </c>
      <c r="U29" s="231">
        <v>14.559999999999999</v>
      </c>
      <c r="V29" s="231">
        <v>18.559999999999999</v>
      </c>
      <c r="W29" s="221" t="str">
        <f t="shared" si="3"/>
        <v>50.8*43.18*11.43</v>
      </c>
      <c r="X29" s="223">
        <v>20</v>
      </c>
      <c r="Y29" s="223">
        <v>17</v>
      </c>
      <c r="Z29" s="223">
        <v>4.5</v>
      </c>
      <c r="AA29" s="214">
        <f t="shared" si="5"/>
        <v>50.8</v>
      </c>
      <c r="AB29" s="214">
        <f t="shared" si="6"/>
        <v>43.18</v>
      </c>
      <c r="AC29" s="214">
        <f t="shared" si="7"/>
        <v>11.43</v>
      </c>
    </row>
    <row r="30" spans="1:29">
      <c r="A30" s="230">
        <v>37</v>
      </c>
      <c r="B30" s="230"/>
      <c r="C30" s="230">
        <v>40</v>
      </c>
      <c r="D30" s="230"/>
      <c r="E30" s="230"/>
      <c r="F30" s="230"/>
      <c r="G30" s="230"/>
      <c r="H30" s="230">
        <v>36</v>
      </c>
      <c r="I30" s="230"/>
      <c r="J30" s="230"/>
      <c r="K30" s="230"/>
      <c r="L30" s="230">
        <v>36</v>
      </c>
      <c r="M30" s="230"/>
      <c r="N30" s="230"/>
      <c r="O30" s="230"/>
      <c r="P30" s="230"/>
      <c r="Q30" s="230">
        <v>4</v>
      </c>
      <c r="R30" s="230">
        <v>144</v>
      </c>
      <c r="S30" s="222">
        <f t="shared" si="1"/>
        <v>3.9299999999999997</v>
      </c>
      <c r="T30" s="222">
        <f t="shared" si="2"/>
        <v>4.96</v>
      </c>
      <c r="U30" s="231">
        <v>15.719999999999999</v>
      </c>
      <c r="V30" s="231">
        <v>19.84</v>
      </c>
      <c r="W30" s="221" t="str">
        <f t="shared" si="3"/>
        <v>50.8*43.18*12.7</v>
      </c>
      <c r="X30" s="223">
        <v>20</v>
      </c>
      <c r="Y30" s="223">
        <v>17</v>
      </c>
      <c r="Z30" s="223">
        <v>5</v>
      </c>
      <c r="AA30" s="214">
        <f t="shared" si="5"/>
        <v>50.8</v>
      </c>
      <c r="AB30" s="214">
        <f t="shared" si="6"/>
        <v>43.18</v>
      </c>
      <c r="AC30" s="214">
        <f t="shared" si="7"/>
        <v>12.7</v>
      </c>
    </row>
    <row r="31" spans="1:29">
      <c r="A31" s="230">
        <v>41</v>
      </c>
      <c r="B31" s="230"/>
      <c r="C31" s="230">
        <v>42</v>
      </c>
      <c r="D31" s="230"/>
      <c r="E31" s="230"/>
      <c r="F31" s="230"/>
      <c r="G31" s="230"/>
      <c r="H31" s="230">
        <v>36</v>
      </c>
      <c r="I31" s="230"/>
      <c r="J31" s="230"/>
      <c r="K31" s="230"/>
      <c r="L31" s="230"/>
      <c r="M31" s="230">
        <v>36</v>
      </c>
      <c r="N31" s="230"/>
      <c r="O31" s="230"/>
      <c r="P31" s="230"/>
      <c r="Q31" s="230">
        <v>2</v>
      </c>
      <c r="R31" s="230">
        <v>72</v>
      </c>
      <c r="S31" s="222">
        <f t="shared" si="1"/>
        <v>4.25</v>
      </c>
      <c r="T31" s="222">
        <f t="shared" si="2"/>
        <v>5.28</v>
      </c>
      <c r="U31" s="231">
        <v>8.5</v>
      </c>
      <c r="V31" s="231">
        <v>10.56</v>
      </c>
      <c r="W31" s="221" t="str">
        <f t="shared" si="3"/>
        <v>50.8*43.18*12.7</v>
      </c>
      <c r="X31" s="223">
        <v>20</v>
      </c>
      <c r="Y31" s="223">
        <v>17</v>
      </c>
      <c r="Z31" s="223">
        <v>5</v>
      </c>
      <c r="AA31" s="214">
        <f t="shared" si="5"/>
        <v>50.8</v>
      </c>
      <c r="AB31" s="214">
        <f t="shared" si="6"/>
        <v>43.18</v>
      </c>
      <c r="AC31" s="214">
        <f t="shared" si="7"/>
        <v>12.7</v>
      </c>
    </row>
    <row r="32" spans="1:29">
      <c r="A32" s="230">
        <v>43</v>
      </c>
      <c r="B32" s="230"/>
      <c r="C32" s="230">
        <v>43</v>
      </c>
      <c r="D32" s="230" t="s">
        <v>189</v>
      </c>
      <c r="E32" s="230"/>
      <c r="F32" s="230"/>
      <c r="G32" s="230"/>
      <c r="H32" s="230">
        <v>28</v>
      </c>
      <c r="I32" s="230"/>
      <c r="J32" s="230">
        <v>28</v>
      </c>
      <c r="K32" s="230"/>
      <c r="L32" s="230"/>
      <c r="M32" s="230"/>
      <c r="N32" s="230"/>
      <c r="O32" s="230"/>
      <c r="P32" s="230"/>
      <c r="Q32" s="230">
        <v>1</v>
      </c>
      <c r="R32" s="230">
        <v>28</v>
      </c>
      <c r="S32" s="222">
        <f t="shared" si="1"/>
        <v>2.58</v>
      </c>
      <c r="T32" s="222">
        <f t="shared" si="2"/>
        <v>3.55</v>
      </c>
      <c r="U32" s="231">
        <v>2.58</v>
      </c>
      <c r="V32" s="231">
        <v>3.55</v>
      </c>
      <c r="W32" s="221" t="str">
        <f t="shared" si="3"/>
        <v>50.8*43.18*10.16</v>
      </c>
      <c r="X32" s="223">
        <v>20</v>
      </c>
      <c r="Y32" s="223">
        <v>17</v>
      </c>
      <c r="Z32" s="223">
        <v>4</v>
      </c>
      <c r="AA32" s="214">
        <f t="shared" si="5"/>
        <v>50.8</v>
      </c>
      <c r="AB32" s="214">
        <f t="shared" si="6"/>
        <v>43.18</v>
      </c>
      <c r="AC32" s="214">
        <f t="shared" si="7"/>
        <v>10.16</v>
      </c>
    </row>
    <row r="33" spans="1:29">
      <c r="A33" s="230">
        <v>44</v>
      </c>
      <c r="B33" s="230"/>
      <c r="C33" s="230">
        <v>44</v>
      </c>
      <c r="D33" s="230" t="s">
        <v>189</v>
      </c>
      <c r="E33" s="230"/>
      <c r="F33" s="230"/>
      <c r="G33" s="230"/>
      <c r="H33" s="230">
        <v>28</v>
      </c>
      <c r="I33" s="230"/>
      <c r="J33" s="230"/>
      <c r="K33" s="230"/>
      <c r="L33" s="230"/>
      <c r="M33" s="230">
        <v>28</v>
      </c>
      <c r="N33" s="230"/>
      <c r="O33" s="230"/>
      <c r="P33" s="230"/>
      <c r="Q33" s="230">
        <v>1</v>
      </c>
      <c r="R33" s="230">
        <v>28</v>
      </c>
      <c r="S33" s="222">
        <f t="shared" si="1"/>
        <v>3.3</v>
      </c>
      <c r="T33" s="222">
        <f t="shared" si="2"/>
        <v>4.12</v>
      </c>
      <c r="U33" s="231">
        <v>3.3</v>
      </c>
      <c r="V33" s="231">
        <v>4.12</v>
      </c>
      <c r="W33" s="221" t="str">
        <f t="shared" si="3"/>
        <v>50.8*43.18*11.43</v>
      </c>
      <c r="X33" s="223">
        <v>20</v>
      </c>
      <c r="Y33" s="223">
        <v>17</v>
      </c>
      <c r="Z33" s="223">
        <v>4.5</v>
      </c>
      <c r="AA33" s="214">
        <f t="shared" si="5"/>
        <v>50.8</v>
      </c>
      <c r="AB33" s="214">
        <f t="shared" si="6"/>
        <v>43.18</v>
      </c>
      <c r="AC33" s="214">
        <f t="shared" si="7"/>
        <v>11.43</v>
      </c>
    </row>
    <row r="34" spans="1:29">
      <c r="A34" s="230" t="s">
        <v>259</v>
      </c>
      <c r="B34" s="230"/>
      <c r="C34" s="230"/>
      <c r="D34" s="230" t="s">
        <v>198</v>
      </c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22"/>
      <c r="T34" s="222"/>
      <c r="U34" s="231"/>
      <c r="V34" s="231"/>
      <c r="W34" s="221"/>
      <c r="X34" s="223">
        <v>19</v>
      </c>
      <c r="Y34" s="223">
        <v>11</v>
      </c>
      <c r="Z34" s="223">
        <v>4.5</v>
      </c>
      <c r="AA34" s="214">
        <f t="shared" si="4"/>
        <v>48.26</v>
      </c>
      <c r="AB34" s="214">
        <f t="shared" si="0"/>
        <v>27.94</v>
      </c>
      <c r="AC34" s="214">
        <f t="shared" si="0"/>
        <v>11.43</v>
      </c>
    </row>
    <row r="35" spans="1:29">
      <c r="A35" s="230">
        <v>45</v>
      </c>
      <c r="B35" s="230"/>
      <c r="C35" s="230">
        <v>45</v>
      </c>
      <c r="D35" s="230" t="s">
        <v>190</v>
      </c>
      <c r="E35" s="230"/>
      <c r="F35" s="230"/>
      <c r="G35" s="230"/>
      <c r="H35" s="230">
        <v>6</v>
      </c>
      <c r="I35" s="230"/>
      <c r="J35" s="230"/>
      <c r="K35" s="230">
        <v>6</v>
      </c>
      <c r="L35" s="230"/>
      <c r="M35" s="230"/>
      <c r="N35" s="230"/>
      <c r="O35" s="230"/>
      <c r="P35" s="230"/>
      <c r="Q35" s="230">
        <v>1</v>
      </c>
      <c r="R35" s="230">
        <v>6</v>
      </c>
      <c r="S35" s="222">
        <f t="shared" si="1"/>
        <v>1.1200000000000001</v>
      </c>
      <c r="T35" s="222">
        <f t="shared" si="2"/>
        <v>2.04</v>
      </c>
      <c r="U35" s="231">
        <v>1.1200000000000001</v>
      </c>
      <c r="V35" s="231">
        <v>2.04</v>
      </c>
      <c r="W35" s="221" t="str">
        <f t="shared" si="3"/>
        <v>25.4*22.86*8.89</v>
      </c>
      <c r="X35" s="223">
        <v>10</v>
      </c>
      <c r="Y35" s="223">
        <v>9</v>
      </c>
      <c r="Z35" s="223">
        <v>3.5</v>
      </c>
      <c r="AA35" s="214">
        <f t="shared" si="4"/>
        <v>25.4</v>
      </c>
      <c r="AB35" s="214">
        <f t="shared" si="4"/>
        <v>22.86</v>
      </c>
      <c r="AC35" s="214">
        <f t="shared" si="4"/>
        <v>8.89</v>
      </c>
    </row>
    <row r="36" spans="1:29">
      <c r="A36" s="230">
        <v>46</v>
      </c>
      <c r="B36" s="230"/>
      <c r="C36" s="230">
        <v>46</v>
      </c>
      <c r="D36" s="230" t="s">
        <v>190</v>
      </c>
      <c r="E36" s="230"/>
      <c r="F36" s="230"/>
      <c r="G36" s="230"/>
      <c r="H36" s="230">
        <v>6</v>
      </c>
      <c r="I36" s="230"/>
      <c r="J36" s="230"/>
      <c r="K36" s="230"/>
      <c r="L36" s="230">
        <v>6</v>
      </c>
      <c r="M36" s="230"/>
      <c r="N36" s="230"/>
      <c r="O36" s="230"/>
      <c r="P36" s="230"/>
      <c r="Q36" s="230"/>
      <c r="R36" s="230">
        <v>6</v>
      </c>
      <c r="S36" s="222"/>
      <c r="T36" s="222"/>
      <c r="U36" s="231"/>
      <c r="V36" s="231"/>
      <c r="W36" s="221" t="str">
        <f t="shared" si="3"/>
        <v>25.4*22.86*8.89</v>
      </c>
      <c r="X36" s="223">
        <v>10</v>
      </c>
      <c r="Y36" s="223">
        <v>9</v>
      </c>
      <c r="Z36" s="223">
        <v>3.5</v>
      </c>
      <c r="AA36" s="214">
        <f t="shared" si="4"/>
        <v>25.4</v>
      </c>
      <c r="AB36" s="214">
        <f t="shared" si="4"/>
        <v>22.86</v>
      </c>
      <c r="AC36" s="214">
        <f t="shared" si="4"/>
        <v>8.89</v>
      </c>
    </row>
    <row r="37" spans="1:29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>
        <v>50</v>
      </c>
      <c r="N37" s="230"/>
      <c r="O37" s="230"/>
      <c r="P37" s="230"/>
      <c r="Q37" s="230"/>
      <c r="R37" s="230"/>
      <c r="S37" s="222"/>
      <c r="T37" s="222"/>
      <c r="U37" s="231"/>
      <c r="V37" s="231"/>
      <c r="W37" s="230"/>
      <c r="X37" s="223"/>
      <c r="Y37" s="223"/>
      <c r="Z37" s="223"/>
    </row>
    <row r="38" spans="1:29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22"/>
      <c r="T38" s="222"/>
      <c r="U38" s="231"/>
      <c r="V38" s="231"/>
      <c r="W38" s="230"/>
    </row>
    <row r="39" spans="1:29" s="216" customFormat="1" ht="14.25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>
        <f>SUM(M19:M38)</f>
        <v>366</v>
      </c>
      <c r="N39" s="232">
        <f>SUM(N19:N38)</f>
        <v>0</v>
      </c>
      <c r="O39" s="232">
        <f>SUM(O19:O38)</f>
        <v>0</v>
      </c>
      <c r="P39" s="232">
        <f>SUM(P19:P38)</f>
        <v>0</v>
      </c>
      <c r="Q39" s="232">
        <f>SUM(Q19:Q38)</f>
        <v>45</v>
      </c>
      <c r="R39" s="232">
        <f>SUM(R19:R38)</f>
        <v>1490</v>
      </c>
      <c r="S39" s="232"/>
      <c r="T39" s="305"/>
      <c r="U39" s="232">
        <f>SUM(U19:U38)</f>
        <v>156.50000000000003</v>
      </c>
      <c r="V39" s="305">
        <f>SUM(V19:V38)</f>
        <v>200.76000000000005</v>
      </c>
      <c r="W39" s="232"/>
    </row>
    <row r="40" spans="1:29" s="216" customFormat="1" ht="14.25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</row>
    <row r="41" spans="1:29">
      <c r="A41" s="223"/>
      <c r="B41" s="223"/>
      <c r="C41" s="223"/>
      <c r="D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4"/>
      <c r="T41" s="224"/>
      <c r="U41" s="224"/>
      <c r="V41" s="224"/>
      <c r="W41" s="215"/>
    </row>
    <row r="42" spans="1:29">
      <c r="D42" s="234" t="s">
        <v>191</v>
      </c>
      <c r="E42" s="234" t="s">
        <v>181</v>
      </c>
      <c r="F42" s="234" t="s">
        <v>192</v>
      </c>
      <c r="G42" s="234" t="s">
        <v>193</v>
      </c>
      <c r="H42" s="234" t="s">
        <v>59</v>
      </c>
      <c r="I42" s="234" t="s">
        <v>27</v>
      </c>
      <c r="J42" s="234" t="s">
        <v>28</v>
      </c>
      <c r="K42" s="234" t="s">
        <v>29</v>
      </c>
      <c r="L42" s="234" t="s">
        <v>30</v>
      </c>
      <c r="M42" s="234"/>
      <c r="N42" s="234"/>
      <c r="O42" s="234"/>
      <c r="P42" s="234"/>
      <c r="Q42" s="219" t="s">
        <v>31</v>
      </c>
      <c r="R42" s="219" t="s">
        <v>32</v>
      </c>
    </row>
    <row r="43" spans="1:29">
      <c r="D43" s="235" t="s">
        <v>207</v>
      </c>
      <c r="E43" s="235" t="s">
        <v>222</v>
      </c>
      <c r="F43" s="235" t="s">
        <v>220</v>
      </c>
      <c r="G43" s="235" t="s">
        <v>232</v>
      </c>
      <c r="H43" s="230"/>
      <c r="I43" s="230">
        <v>198</v>
      </c>
      <c r="J43" s="230">
        <v>297</v>
      </c>
      <c r="K43" s="230">
        <v>297</v>
      </c>
      <c r="L43" s="230">
        <v>198</v>
      </c>
      <c r="M43" s="234"/>
      <c r="N43" s="234"/>
      <c r="O43" s="234"/>
      <c r="P43" s="234"/>
      <c r="Q43" s="235">
        <v>30</v>
      </c>
      <c r="R43" s="235">
        <v>990</v>
      </c>
      <c r="X43" s="214">
        <f>+SUM(H43:L43)</f>
        <v>990</v>
      </c>
      <c r="Y43" s="214">
        <f>+R43-X43</f>
        <v>0</v>
      </c>
    </row>
    <row r="44" spans="1:29">
      <c r="D44" s="235" t="s">
        <v>207</v>
      </c>
      <c r="E44" s="235" t="s">
        <v>222</v>
      </c>
      <c r="F44" s="235" t="s">
        <v>223</v>
      </c>
      <c r="G44" s="235" t="s">
        <v>258</v>
      </c>
      <c r="H44" s="230"/>
      <c r="I44" s="230">
        <v>100</v>
      </c>
      <c r="J44" s="230">
        <v>150</v>
      </c>
      <c r="K44" s="230">
        <v>150</v>
      </c>
      <c r="L44" s="230">
        <v>100</v>
      </c>
      <c r="M44" s="234"/>
      <c r="N44" s="234"/>
      <c r="O44" s="234"/>
      <c r="P44" s="234"/>
      <c r="Q44" s="235">
        <v>15</v>
      </c>
      <c r="R44" s="235">
        <v>500</v>
      </c>
      <c r="X44" s="214">
        <f>+SUM(H44:L44)</f>
        <v>500</v>
      </c>
      <c r="Y44" s="214">
        <f>+R44-X44</f>
        <v>0</v>
      </c>
    </row>
    <row r="45" spans="1:29"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</row>
    <row r="46" spans="1:29">
      <c r="D46" s="215"/>
      <c r="E46" s="215"/>
      <c r="F46" s="215"/>
      <c r="G46" s="215"/>
      <c r="H46" s="215"/>
      <c r="I46" s="215"/>
      <c r="J46" s="215"/>
      <c r="K46" s="218" t="s">
        <v>33</v>
      </c>
      <c r="L46" s="215"/>
      <c r="M46" s="218"/>
      <c r="N46" s="218"/>
      <c r="O46" s="218"/>
      <c r="P46" s="218"/>
      <c r="Q46" s="218">
        <f>SUM(Q43:Q44)</f>
        <v>45</v>
      </c>
      <c r="R46" s="218">
        <f>SUM(R43:R44)</f>
        <v>1490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  <row r="68" s="214" customFormat="1"/>
    <row r="69" s="214" customFormat="1"/>
    <row r="70" s="214" customFormat="1"/>
    <row r="71" s="214" customFormat="1"/>
    <row r="72" s="214" customFormat="1"/>
    <row r="73" s="214" customFormat="1"/>
    <row r="74" s="214" customFormat="1"/>
    <row r="75" s="214" customFormat="1"/>
    <row r="76" s="214" customFormat="1"/>
    <row r="77" s="214" customFormat="1"/>
    <row r="78" s="214" customFormat="1"/>
    <row r="79" s="214" customFormat="1"/>
    <row r="80" s="214" customFormat="1"/>
    <row r="81" s="214" customFormat="1"/>
    <row r="82" s="214" customFormat="1"/>
    <row r="83" s="214" customFormat="1"/>
  </sheetData>
  <autoFilter ref="A18:IU41" xr:uid="{00000000-0009-0000-0000-000004000000}">
    <filterColumn colId="0" showButton="0"/>
    <filterColumn colId="1" showButton="0"/>
  </autoFilter>
  <mergeCells count="6">
    <mergeCell ref="A4:T4"/>
    <mergeCell ref="BT6:CH6"/>
    <mergeCell ref="A12:C12"/>
    <mergeCell ref="A14:C14"/>
    <mergeCell ref="A16:C16"/>
    <mergeCell ref="A18:C18"/>
  </mergeCells>
  <pageMargins left="0.24791666700000001" right="0.24791666700000001" top="0.48402777800000002" bottom="0.48402777800000002" header="0.51180555555555496" footer="0.51180555555555496"/>
  <pageSetup scale="56" fitToHeight="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5902-B53E-445E-A496-855630CD3012}">
  <sheetPr>
    <pageSetUpPr fitToPage="1"/>
  </sheetPr>
  <dimension ref="A1:CH83"/>
  <sheetViews>
    <sheetView view="pageBreakPreview" topLeftCell="A24" zoomScale="70" zoomScaleNormal="70" zoomScaleSheetLayoutView="70" workbookViewId="0">
      <selection activeCell="G31" sqref="G31"/>
    </sheetView>
  </sheetViews>
  <sheetFormatPr defaultColWidth="11.25" defaultRowHeight="15"/>
  <cols>
    <col min="1" max="1" width="11.25" style="214"/>
    <col min="2" max="2" width="5.75" style="214" customWidth="1"/>
    <col min="3" max="3" width="7.625" style="214" customWidth="1"/>
    <col min="4" max="4" width="17.625" style="214" customWidth="1"/>
    <col min="5" max="5" width="10.25" style="214" customWidth="1"/>
    <col min="6" max="6" width="20.25" style="214" bestFit="1" customWidth="1"/>
    <col min="7" max="7" width="11" style="214" customWidth="1"/>
    <col min="8" max="8" width="9.25" style="214" customWidth="1"/>
    <col min="9" max="10" width="5.75" style="214" customWidth="1"/>
    <col min="11" max="11" width="6.75" style="214" customWidth="1"/>
    <col min="12" max="12" width="7.625" style="214" customWidth="1"/>
    <col min="13" max="16" width="7.25" style="214" hidden="1" customWidth="1"/>
    <col min="17" max="18" width="11.25" style="214"/>
    <col min="19" max="19" width="15" style="214" bestFit="1" customWidth="1"/>
    <col min="20" max="20" width="13.75" style="214" bestFit="1" customWidth="1"/>
    <col min="21" max="21" width="14.125" style="214" bestFit="1" customWidth="1"/>
    <col min="22" max="22" width="15" style="214" bestFit="1" customWidth="1"/>
    <col min="23" max="23" width="20.875" style="214" customWidth="1"/>
    <col min="24" max="16384" width="11.25" style="214"/>
  </cols>
  <sheetData>
    <row r="1" spans="1:86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3" spans="1:86">
      <c r="A3" s="215"/>
      <c r="B3" s="215"/>
      <c r="C3" s="215"/>
      <c r="D3" s="215"/>
      <c r="E3" s="215"/>
      <c r="F3" s="215"/>
      <c r="G3" s="215"/>
      <c r="H3" s="215"/>
      <c r="M3" s="215"/>
      <c r="N3" s="215"/>
      <c r="O3" s="215"/>
      <c r="P3" s="215"/>
    </row>
    <row r="4" spans="1:86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</row>
    <row r="5" spans="1:86">
      <c r="H5" s="214" t="s">
        <v>43</v>
      </c>
    </row>
    <row r="6" spans="1:86">
      <c r="A6" s="216" t="s">
        <v>168</v>
      </c>
      <c r="B6" s="216"/>
      <c r="C6" s="216"/>
      <c r="E6" s="214" t="str">
        <f>+'[1]INVOICE 11'!C7</f>
        <v>SUPREME INTERNATIONAL, LLC</v>
      </c>
      <c r="G6" s="217"/>
      <c r="H6" s="214" t="s">
        <v>169</v>
      </c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</row>
    <row r="7" spans="1:86">
      <c r="A7" s="216"/>
      <c r="B7" s="216"/>
      <c r="C7" s="216"/>
      <c r="F7" s="217"/>
      <c r="G7" s="217"/>
      <c r="H7" s="214" t="s">
        <v>170</v>
      </c>
    </row>
    <row r="8" spans="1:86">
      <c r="A8" s="216"/>
      <c r="B8" s="216"/>
      <c r="C8" s="216"/>
      <c r="D8" s="225"/>
      <c r="E8" s="225"/>
      <c r="F8" s="225"/>
      <c r="G8" s="225"/>
      <c r="H8" s="214" t="s">
        <v>45</v>
      </c>
    </row>
    <row r="9" spans="1:86">
      <c r="A9" s="216"/>
      <c r="B9" s="216"/>
      <c r="C9" s="216"/>
      <c r="H9" s="214" t="s">
        <v>171</v>
      </c>
    </row>
    <row r="10" spans="1:86">
      <c r="A10" s="216"/>
      <c r="B10" s="216"/>
      <c r="C10" s="216"/>
      <c r="H10" s="214" t="s">
        <v>172</v>
      </c>
    </row>
    <row r="11" spans="1:86">
      <c r="A11" s="216"/>
      <c r="B11" s="216"/>
      <c r="C11" s="216"/>
    </row>
    <row r="12" spans="1:86">
      <c r="A12" s="291" t="s">
        <v>173</v>
      </c>
      <c r="B12" s="291"/>
      <c r="C12" s="291"/>
      <c r="H12" s="214" t="s">
        <v>174</v>
      </c>
    </row>
    <row r="13" spans="1:86">
      <c r="A13" s="216" t="s">
        <v>175</v>
      </c>
      <c r="B13" s="216" t="s">
        <v>207</v>
      </c>
      <c r="C13" s="216"/>
      <c r="H13" s="214" t="s">
        <v>176</v>
      </c>
    </row>
    <row r="14" spans="1:86">
      <c r="A14" s="291" t="s">
        <v>177</v>
      </c>
      <c r="B14" s="291"/>
      <c r="C14" s="291"/>
      <c r="E14" s="214" t="str">
        <f>+B13</f>
        <v>DV6</v>
      </c>
    </row>
    <row r="15" spans="1:86">
      <c r="A15" s="216" t="s">
        <v>178</v>
      </c>
      <c r="B15" s="216"/>
      <c r="C15" s="216"/>
      <c r="D15" s="214">
        <f>+'INVOICE 94'!M2</f>
        <v>7726477</v>
      </c>
      <c r="E15" s="216"/>
      <c r="S15" s="218"/>
      <c r="T15" s="218"/>
    </row>
    <row r="16" spans="1:86">
      <c r="A16" s="291" t="s">
        <v>179</v>
      </c>
      <c r="B16" s="291"/>
      <c r="C16" s="291"/>
    </row>
    <row r="18" spans="1:29">
      <c r="A18" s="292" t="s">
        <v>180</v>
      </c>
      <c r="B18" s="292"/>
      <c r="C18" s="292"/>
      <c r="D18" s="219" t="s">
        <v>182</v>
      </c>
      <c r="E18" s="219" t="s">
        <v>181</v>
      </c>
      <c r="F18" s="219" t="s">
        <v>183</v>
      </c>
      <c r="G18" s="219" t="s">
        <v>184</v>
      </c>
      <c r="H18" s="219" t="s">
        <v>26</v>
      </c>
      <c r="I18" s="219" t="s">
        <v>59</v>
      </c>
      <c r="J18" s="219" t="s">
        <v>27</v>
      </c>
      <c r="K18" s="219" t="s">
        <v>28</v>
      </c>
      <c r="L18" s="219" t="s">
        <v>29</v>
      </c>
      <c r="M18" s="219">
        <v>4</v>
      </c>
      <c r="N18" s="219">
        <v>5</v>
      </c>
      <c r="O18" s="219">
        <v>6</v>
      </c>
      <c r="P18" s="219" t="s">
        <v>165</v>
      </c>
      <c r="Q18" s="219" t="s">
        <v>31</v>
      </c>
      <c r="R18" s="219" t="s">
        <v>32</v>
      </c>
      <c r="S18" s="219" t="s">
        <v>185</v>
      </c>
      <c r="T18" s="219" t="s">
        <v>186</v>
      </c>
      <c r="U18" s="220" t="s">
        <v>188</v>
      </c>
      <c r="V18" s="219" t="s">
        <v>187</v>
      </c>
      <c r="W18" s="220" t="s">
        <v>203</v>
      </c>
    </row>
    <row r="19" spans="1:29">
      <c r="A19" s="221">
        <v>1</v>
      </c>
      <c r="B19" s="221"/>
      <c r="C19" s="221">
        <v>5</v>
      </c>
      <c r="D19" s="221"/>
      <c r="E19" s="221" t="s">
        <v>222</v>
      </c>
      <c r="F19" s="221" t="s">
        <v>231</v>
      </c>
      <c r="G19" s="221" t="s">
        <v>232</v>
      </c>
      <c r="H19" s="221">
        <v>36</v>
      </c>
      <c r="I19" s="221"/>
      <c r="J19" s="221">
        <v>36</v>
      </c>
      <c r="K19" s="221"/>
      <c r="L19" s="221"/>
      <c r="M19" s="221"/>
      <c r="N19" s="221"/>
      <c r="O19" s="221"/>
      <c r="P19" s="221"/>
      <c r="Q19" s="221">
        <v>5</v>
      </c>
      <c r="R19" s="221">
        <v>180</v>
      </c>
      <c r="S19" s="222">
        <f>+U19/Q19</f>
        <v>3.3200000000000003</v>
      </c>
      <c r="T19" s="222">
        <f>+V19/Q19</f>
        <v>4.32</v>
      </c>
      <c r="U19" s="222">
        <v>16.600000000000001</v>
      </c>
      <c r="V19" s="222">
        <v>21.6</v>
      </c>
      <c r="W19" s="221" t="str">
        <f>AA19&amp;"*"&amp;AB19&amp;"*"&amp;AC19</f>
        <v>50.8*43.18*11.43</v>
      </c>
      <c r="X19" s="223">
        <v>20</v>
      </c>
      <c r="Y19" s="223">
        <v>17</v>
      </c>
      <c r="Z19" s="223">
        <v>4.5</v>
      </c>
      <c r="AA19" s="214">
        <f>+X19*2.54</f>
        <v>50.8</v>
      </c>
      <c r="AB19" s="214">
        <f t="shared" ref="AB19:AC34" si="0">+Y19*2.54</f>
        <v>43.18</v>
      </c>
      <c r="AC19" s="214">
        <f t="shared" si="0"/>
        <v>11.43</v>
      </c>
    </row>
    <row r="20" spans="1:29">
      <c r="A20" s="221">
        <v>6</v>
      </c>
      <c r="B20" s="221"/>
      <c r="C20" s="221">
        <v>13</v>
      </c>
      <c r="D20" s="221"/>
      <c r="E20" s="221"/>
      <c r="F20" s="221"/>
      <c r="G20" s="221"/>
      <c r="H20" s="221">
        <v>36</v>
      </c>
      <c r="I20" s="221"/>
      <c r="J20" s="221"/>
      <c r="K20" s="221">
        <v>36</v>
      </c>
      <c r="L20" s="221"/>
      <c r="M20" s="221"/>
      <c r="N20" s="221"/>
      <c r="O20" s="221"/>
      <c r="P20" s="221"/>
      <c r="Q20" s="221">
        <v>8</v>
      </c>
      <c r="R20" s="221">
        <v>288</v>
      </c>
      <c r="S20" s="222">
        <f t="shared" ref="S20:S36" si="1">+U20/Q20</f>
        <v>3.6399999999999997</v>
      </c>
      <c r="T20" s="222">
        <f t="shared" ref="T20:T36" si="2">+V20/Q20</f>
        <v>4.6399999999999997</v>
      </c>
      <c r="U20" s="222">
        <v>29.119999999999997</v>
      </c>
      <c r="V20" s="222">
        <v>37.119999999999997</v>
      </c>
      <c r="W20" s="221" t="str">
        <f t="shared" ref="W20:W36" si="3">AA20&amp;"*"&amp;AB20&amp;"*"&amp;AC20</f>
        <v>50.8*43.18*11.43</v>
      </c>
      <c r="X20" s="223">
        <v>20</v>
      </c>
      <c r="Y20" s="223">
        <v>17</v>
      </c>
      <c r="Z20" s="223">
        <v>4.5</v>
      </c>
      <c r="AA20" s="214">
        <f t="shared" ref="AA20:AC36" si="4">+X20*2.54</f>
        <v>50.8</v>
      </c>
      <c r="AB20" s="214">
        <f t="shared" si="0"/>
        <v>43.18</v>
      </c>
      <c r="AC20" s="214">
        <f t="shared" si="0"/>
        <v>11.43</v>
      </c>
    </row>
    <row r="21" spans="1:29">
      <c r="A21" s="230">
        <v>14</v>
      </c>
      <c r="B21" s="230"/>
      <c r="C21" s="230">
        <v>21</v>
      </c>
      <c r="D21" s="230"/>
      <c r="E21" s="230"/>
      <c r="F21" s="230"/>
      <c r="G21" s="230"/>
      <c r="H21" s="230">
        <v>36</v>
      </c>
      <c r="I21" s="230"/>
      <c r="J21" s="230"/>
      <c r="K21" s="230"/>
      <c r="L21" s="230">
        <v>36</v>
      </c>
      <c r="M21" s="230"/>
      <c r="N21" s="230"/>
      <c r="O21" s="230"/>
      <c r="P21" s="230"/>
      <c r="Q21" s="230">
        <v>8</v>
      </c>
      <c r="R21" s="230">
        <v>288</v>
      </c>
      <c r="S21" s="222">
        <f t="shared" si="1"/>
        <v>3.9299999999999997</v>
      </c>
      <c r="T21" s="222">
        <f t="shared" si="2"/>
        <v>4.96</v>
      </c>
      <c r="U21" s="231">
        <v>31.439999999999998</v>
      </c>
      <c r="V21" s="231">
        <v>39.68</v>
      </c>
      <c r="W21" s="221" t="str">
        <f t="shared" si="3"/>
        <v>50.8*43.18*12.7</v>
      </c>
      <c r="X21" s="223">
        <v>20</v>
      </c>
      <c r="Y21" s="223">
        <v>17</v>
      </c>
      <c r="Z21" s="223">
        <v>5</v>
      </c>
      <c r="AA21" s="214">
        <f t="shared" si="4"/>
        <v>50.8</v>
      </c>
      <c r="AB21" s="214">
        <f t="shared" si="0"/>
        <v>43.18</v>
      </c>
      <c r="AC21" s="214">
        <f t="shared" si="0"/>
        <v>12.7</v>
      </c>
    </row>
    <row r="22" spans="1:29">
      <c r="A22" s="230">
        <v>22</v>
      </c>
      <c r="B22" s="230"/>
      <c r="C22" s="230">
        <v>26</v>
      </c>
      <c r="D22" s="230"/>
      <c r="E22" s="230"/>
      <c r="F22" s="230"/>
      <c r="G22" s="230"/>
      <c r="H22" s="230">
        <v>36</v>
      </c>
      <c r="I22" s="230"/>
      <c r="J22" s="230"/>
      <c r="K22" s="230"/>
      <c r="L22" s="230"/>
      <c r="M22" s="230">
        <v>36</v>
      </c>
      <c r="N22" s="230"/>
      <c r="O22" s="230"/>
      <c r="P22" s="230"/>
      <c r="Q22" s="230">
        <v>5</v>
      </c>
      <c r="R22" s="230">
        <v>180</v>
      </c>
      <c r="S22" s="222">
        <f t="shared" si="1"/>
        <v>4.25</v>
      </c>
      <c r="T22" s="222">
        <f t="shared" si="2"/>
        <v>5.28</v>
      </c>
      <c r="U22" s="231">
        <v>21.25</v>
      </c>
      <c r="V22" s="231">
        <v>26.400000000000002</v>
      </c>
      <c r="W22" s="221" t="str">
        <f t="shared" si="3"/>
        <v>50.8*43.18*12.7</v>
      </c>
      <c r="X22" s="223">
        <v>20</v>
      </c>
      <c r="Y22" s="223">
        <v>17</v>
      </c>
      <c r="Z22" s="223">
        <v>5</v>
      </c>
      <c r="AA22" s="214">
        <f t="shared" si="4"/>
        <v>50.8</v>
      </c>
      <c r="AB22" s="214">
        <f t="shared" si="0"/>
        <v>43.18</v>
      </c>
      <c r="AC22" s="214">
        <f t="shared" si="0"/>
        <v>12.7</v>
      </c>
    </row>
    <row r="23" spans="1:29">
      <c r="A23" s="230">
        <v>27</v>
      </c>
      <c r="B23" s="230"/>
      <c r="C23" s="230">
        <v>27</v>
      </c>
      <c r="D23" s="230" t="s">
        <v>189</v>
      </c>
      <c r="E23" s="230"/>
      <c r="F23" s="230"/>
      <c r="G23" s="230"/>
      <c r="H23" s="230">
        <v>18</v>
      </c>
      <c r="I23" s="230"/>
      <c r="J23" s="230">
        <v>18</v>
      </c>
      <c r="K23" s="230"/>
      <c r="L23" s="230"/>
      <c r="M23" s="230"/>
      <c r="N23" s="230"/>
      <c r="O23" s="230"/>
      <c r="P23" s="230"/>
      <c r="Q23" s="230">
        <v>1</v>
      </c>
      <c r="R23" s="230">
        <v>18</v>
      </c>
      <c r="S23" s="222">
        <f t="shared" si="1"/>
        <v>1.66</v>
      </c>
      <c r="T23" s="222">
        <f t="shared" si="2"/>
        <v>2.23</v>
      </c>
      <c r="U23" s="231">
        <v>1.66</v>
      </c>
      <c r="V23" s="231">
        <v>2.23</v>
      </c>
      <c r="W23" s="221" t="str">
        <f t="shared" si="3"/>
        <v>50.8*43.18*7.62</v>
      </c>
      <c r="X23" s="223">
        <v>20</v>
      </c>
      <c r="Y23" s="223">
        <v>17</v>
      </c>
      <c r="Z23" s="223">
        <v>3</v>
      </c>
      <c r="AA23" s="214">
        <f t="shared" si="4"/>
        <v>50.8</v>
      </c>
      <c r="AB23" s="214">
        <f t="shared" si="0"/>
        <v>43.18</v>
      </c>
      <c r="AC23" s="214">
        <f t="shared" si="0"/>
        <v>7.62</v>
      </c>
    </row>
    <row r="24" spans="1:29">
      <c r="A24" s="230">
        <v>28</v>
      </c>
      <c r="B24" s="230"/>
      <c r="C24" s="230">
        <v>28</v>
      </c>
      <c r="D24" s="230" t="s">
        <v>189</v>
      </c>
      <c r="E24" s="230"/>
      <c r="F24" s="230"/>
      <c r="G24" s="230"/>
      <c r="H24" s="230">
        <v>9</v>
      </c>
      <c r="I24" s="230"/>
      <c r="J24" s="230"/>
      <c r="K24" s="230">
        <v>9</v>
      </c>
      <c r="L24" s="230"/>
      <c r="M24" s="230"/>
      <c r="N24" s="230"/>
      <c r="O24" s="230"/>
      <c r="P24" s="230"/>
      <c r="Q24" s="230">
        <v>1</v>
      </c>
      <c r="R24" s="230">
        <v>9</v>
      </c>
      <c r="S24" s="222">
        <f t="shared" si="1"/>
        <v>0.91</v>
      </c>
      <c r="T24" s="222">
        <f t="shared" si="2"/>
        <v>1.66</v>
      </c>
      <c r="U24" s="231">
        <v>0.91</v>
      </c>
      <c r="V24" s="231">
        <v>1.66</v>
      </c>
      <c r="W24" s="221" t="str">
        <f t="shared" si="3"/>
        <v>44.45*25.4*7.62</v>
      </c>
      <c r="X24" s="223">
        <v>17.5</v>
      </c>
      <c r="Y24" s="223">
        <v>10</v>
      </c>
      <c r="Z24" s="223">
        <v>3</v>
      </c>
      <c r="AA24" s="214">
        <f t="shared" si="4"/>
        <v>44.45</v>
      </c>
      <c r="AB24" s="214">
        <f t="shared" si="0"/>
        <v>25.4</v>
      </c>
      <c r="AC24" s="214">
        <f t="shared" si="0"/>
        <v>7.62</v>
      </c>
    </row>
    <row r="25" spans="1:29">
      <c r="A25" s="230">
        <v>29</v>
      </c>
      <c r="B25" s="230"/>
      <c r="C25" s="230">
        <v>29</v>
      </c>
      <c r="D25" s="230" t="s">
        <v>189</v>
      </c>
      <c r="E25" s="230"/>
      <c r="F25" s="230"/>
      <c r="G25" s="230"/>
      <c r="H25" s="230">
        <v>9</v>
      </c>
      <c r="I25" s="230"/>
      <c r="J25" s="230"/>
      <c r="K25" s="230"/>
      <c r="L25" s="230">
        <v>9</v>
      </c>
      <c r="M25" s="230"/>
      <c r="N25" s="230"/>
      <c r="O25" s="230"/>
      <c r="P25" s="230"/>
      <c r="Q25" s="230">
        <v>1</v>
      </c>
      <c r="R25" s="230">
        <v>9</v>
      </c>
      <c r="S25" s="222">
        <f t="shared" si="1"/>
        <v>0.98</v>
      </c>
      <c r="T25" s="222">
        <f t="shared" si="2"/>
        <v>1.72</v>
      </c>
      <c r="U25" s="231">
        <v>0.98</v>
      </c>
      <c r="V25" s="231">
        <v>1.72</v>
      </c>
      <c r="W25" s="221" t="str">
        <f t="shared" si="3"/>
        <v>44.45*25.4*7.62</v>
      </c>
      <c r="X25" s="223">
        <v>17.5</v>
      </c>
      <c r="Y25" s="223">
        <v>10</v>
      </c>
      <c r="Z25" s="223">
        <v>3</v>
      </c>
      <c r="AA25" s="214">
        <f t="shared" si="4"/>
        <v>44.45</v>
      </c>
      <c r="AB25" s="214">
        <f t="shared" si="0"/>
        <v>25.4</v>
      </c>
      <c r="AC25" s="214">
        <f t="shared" si="0"/>
        <v>7.62</v>
      </c>
    </row>
    <row r="26" spans="1:29">
      <c r="A26" s="230">
        <v>30</v>
      </c>
      <c r="B26" s="230"/>
      <c r="C26" s="230">
        <v>30</v>
      </c>
      <c r="D26" s="230" t="s">
        <v>189</v>
      </c>
      <c r="E26" s="230"/>
      <c r="F26" s="230"/>
      <c r="G26" s="230"/>
      <c r="H26" s="230">
        <v>18</v>
      </c>
      <c r="I26" s="230"/>
      <c r="J26" s="230"/>
      <c r="K26" s="230"/>
      <c r="L26" s="230"/>
      <c r="M26" s="230">
        <v>18</v>
      </c>
      <c r="N26" s="230"/>
      <c r="O26" s="230"/>
      <c r="P26" s="230"/>
      <c r="Q26" s="230">
        <v>1</v>
      </c>
      <c r="R26" s="230">
        <v>18</v>
      </c>
      <c r="S26" s="222">
        <f t="shared" si="1"/>
        <v>2.12</v>
      </c>
      <c r="T26" s="222">
        <f t="shared" si="2"/>
        <v>3.04</v>
      </c>
      <c r="U26" s="231">
        <v>2.12</v>
      </c>
      <c r="V26" s="231">
        <v>3.04</v>
      </c>
      <c r="W26" s="221" t="str">
        <f t="shared" si="3"/>
        <v>50.8*43.18*7.62</v>
      </c>
      <c r="X26" s="223">
        <v>20</v>
      </c>
      <c r="Y26" s="223">
        <v>17</v>
      </c>
      <c r="Z26" s="223">
        <v>3</v>
      </c>
      <c r="AA26" s="214">
        <f t="shared" si="4"/>
        <v>50.8</v>
      </c>
      <c r="AB26" s="214">
        <f t="shared" si="0"/>
        <v>43.18</v>
      </c>
      <c r="AC26" s="214">
        <f t="shared" si="0"/>
        <v>7.62</v>
      </c>
    </row>
    <row r="27" spans="1:29">
      <c r="A27" s="230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>
        <v>198</v>
      </c>
      <c r="N27" s="230"/>
      <c r="O27" s="230"/>
      <c r="P27" s="230"/>
      <c r="Q27" s="230"/>
      <c r="R27" s="230"/>
      <c r="S27" s="222"/>
      <c r="T27" s="222"/>
      <c r="U27" s="231"/>
      <c r="V27" s="231"/>
      <c r="W27" s="221"/>
      <c r="X27" s="223"/>
      <c r="Y27" s="223"/>
      <c r="Z27" s="223"/>
      <c r="AA27" s="214">
        <f t="shared" si="4"/>
        <v>0</v>
      </c>
      <c r="AB27" s="214">
        <f t="shared" si="0"/>
        <v>0</v>
      </c>
      <c r="AC27" s="214">
        <f t="shared" si="0"/>
        <v>0</v>
      </c>
    </row>
    <row r="28" spans="1:29">
      <c r="A28" s="230">
        <v>31</v>
      </c>
      <c r="B28" s="230"/>
      <c r="C28" s="230">
        <v>32</v>
      </c>
      <c r="D28" s="230"/>
      <c r="E28" s="230" t="s">
        <v>222</v>
      </c>
      <c r="F28" s="230" t="s">
        <v>257</v>
      </c>
      <c r="G28" s="230" t="s">
        <v>258</v>
      </c>
      <c r="H28" s="230">
        <v>36</v>
      </c>
      <c r="I28" s="230"/>
      <c r="J28" s="230">
        <v>36</v>
      </c>
      <c r="K28" s="230"/>
      <c r="L28" s="230"/>
      <c r="M28" s="230"/>
      <c r="N28" s="230"/>
      <c r="O28" s="230"/>
      <c r="P28" s="230"/>
      <c r="Q28" s="230">
        <v>2</v>
      </c>
      <c r="R28" s="230">
        <v>72</v>
      </c>
      <c r="S28" s="222">
        <f t="shared" si="1"/>
        <v>3.3200000000000003</v>
      </c>
      <c r="T28" s="222">
        <f t="shared" si="2"/>
        <v>4.32</v>
      </c>
      <c r="U28" s="231">
        <v>6.6400000000000006</v>
      </c>
      <c r="V28" s="231">
        <v>8.64</v>
      </c>
      <c r="W28" s="221" t="str">
        <f t="shared" si="3"/>
        <v>50.8*43.18*11.43</v>
      </c>
      <c r="X28" s="223">
        <v>20</v>
      </c>
      <c r="Y28" s="223">
        <v>17</v>
      </c>
      <c r="Z28" s="223">
        <v>4.5</v>
      </c>
      <c r="AA28" s="214">
        <f t="shared" si="4"/>
        <v>50.8</v>
      </c>
      <c r="AB28" s="214">
        <f t="shared" si="0"/>
        <v>43.18</v>
      </c>
      <c r="AC28" s="214">
        <f t="shared" si="0"/>
        <v>11.43</v>
      </c>
    </row>
    <row r="29" spans="1:29">
      <c r="A29" s="230">
        <v>33</v>
      </c>
      <c r="B29" s="230"/>
      <c r="C29" s="230">
        <v>36</v>
      </c>
      <c r="D29" s="230"/>
      <c r="E29" s="230"/>
      <c r="F29" s="230"/>
      <c r="G29" s="230"/>
      <c r="H29" s="230">
        <v>36</v>
      </c>
      <c r="I29" s="230"/>
      <c r="J29" s="230"/>
      <c r="K29" s="230">
        <v>36</v>
      </c>
      <c r="L29" s="230"/>
      <c r="M29" s="230"/>
      <c r="N29" s="230"/>
      <c r="O29" s="230"/>
      <c r="P29" s="230"/>
      <c r="Q29" s="230">
        <v>4</v>
      </c>
      <c r="R29" s="230">
        <v>144</v>
      </c>
      <c r="S29" s="222">
        <f t="shared" si="1"/>
        <v>3.6399999999999997</v>
      </c>
      <c r="T29" s="222">
        <f t="shared" si="2"/>
        <v>4.6399999999999997</v>
      </c>
      <c r="U29" s="231">
        <v>14.559999999999999</v>
      </c>
      <c r="V29" s="231">
        <v>18.559999999999999</v>
      </c>
      <c r="W29" s="221" t="str">
        <f t="shared" si="3"/>
        <v>50.8*43.18*11.43</v>
      </c>
      <c r="X29" s="223">
        <v>20</v>
      </c>
      <c r="Y29" s="223">
        <v>17</v>
      </c>
      <c r="Z29" s="223">
        <v>4.5</v>
      </c>
      <c r="AA29" s="214">
        <f t="shared" si="4"/>
        <v>50.8</v>
      </c>
      <c r="AB29" s="214">
        <f t="shared" si="0"/>
        <v>43.18</v>
      </c>
      <c r="AC29" s="214">
        <f t="shared" si="0"/>
        <v>11.43</v>
      </c>
    </row>
    <row r="30" spans="1:29">
      <c r="A30" s="230">
        <v>37</v>
      </c>
      <c r="B30" s="230"/>
      <c r="C30" s="230">
        <v>40</v>
      </c>
      <c r="D30" s="230"/>
      <c r="E30" s="230"/>
      <c r="F30" s="230"/>
      <c r="G30" s="230"/>
      <c r="H30" s="230">
        <v>36</v>
      </c>
      <c r="I30" s="230"/>
      <c r="J30" s="230"/>
      <c r="K30" s="230"/>
      <c r="L30" s="230">
        <v>36</v>
      </c>
      <c r="M30" s="230"/>
      <c r="N30" s="230"/>
      <c r="O30" s="230"/>
      <c r="P30" s="230"/>
      <c r="Q30" s="230">
        <v>4</v>
      </c>
      <c r="R30" s="230">
        <v>144</v>
      </c>
      <c r="S30" s="222">
        <f t="shared" si="1"/>
        <v>3.9299999999999997</v>
      </c>
      <c r="T30" s="222">
        <f t="shared" si="2"/>
        <v>4.96</v>
      </c>
      <c r="U30" s="231">
        <v>15.719999999999999</v>
      </c>
      <c r="V30" s="231">
        <v>19.84</v>
      </c>
      <c r="W30" s="221" t="str">
        <f t="shared" si="3"/>
        <v>50.8*43.18*12.7</v>
      </c>
      <c r="X30" s="223">
        <v>20</v>
      </c>
      <c r="Y30" s="223">
        <v>17</v>
      </c>
      <c r="Z30" s="223">
        <v>5</v>
      </c>
      <c r="AA30" s="214">
        <f t="shared" si="4"/>
        <v>50.8</v>
      </c>
      <c r="AB30" s="214">
        <f t="shared" si="0"/>
        <v>43.18</v>
      </c>
      <c r="AC30" s="214">
        <f t="shared" si="0"/>
        <v>12.7</v>
      </c>
    </row>
    <row r="31" spans="1:29">
      <c r="A31" s="230">
        <v>41</v>
      </c>
      <c r="B31" s="230"/>
      <c r="C31" s="230">
        <v>42</v>
      </c>
      <c r="D31" s="230"/>
      <c r="E31" s="230"/>
      <c r="F31" s="230"/>
      <c r="G31" s="230"/>
      <c r="H31" s="230">
        <v>36</v>
      </c>
      <c r="I31" s="230"/>
      <c r="J31" s="230"/>
      <c r="K31" s="230"/>
      <c r="L31" s="230"/>
      <c r="M31" s="230">
        <v>36</v>
      </c>
      <c r="N31" s="230"/>
      <c r="O31" s="230"/>
      <c r="P31" s="230"/>
      <c r="Q31" s="230">
        <v>2</v>
      </c>
      <c r="R31" s="230">
        <v>72</v>
      </c>
      <c r="S31" s="222">
        <f t="shared" si="1"/>
        <v>4.25</v>
      </c>
      <c r="T31" s="222">
        <f t="shared" si="2"/>
        <v>5.28</v>
      </c>
      <c r="U31" s="231">
        <v>8.5</v>
      </c>
      <c r="V31" s="231">
        <v>10.56</v>
      </c>
      <c r="W31" s="221" t="str">
        <f t="shared" si="3"/>
        <v>50.8*43.18*12.7</v>
      </c>
      <c r="X31" s="223">
        <v>20</v>
      </c>
      <c r="Y31" s="223">
        <v>17</v>
      </c>
      <c r="Z31" s="223">
        <v>5</v>
      </c>
      <c r="AA31" s="214">
        <f t="shared" si="4"/>
        <v>50.8</v>
      </c>
      <c r="AB31" s="214">
        <f t="shared" si="0"/>
        <v>43.18</v>
      </c>
      <c r="AC31" s="214">
        <f t="shared" si="0"/>
        <v>12.7</v>
      </c>
    </row>
    <row r="32" spans="1:29">
      <c r="A32" s="230">
        <v>43</v>
      </c>
      <c r="B32" s="230"/>
      <c r="C32" s="230">
        <v>43</v>
      </c>
      <c r="D32" s="230" t="s">
        <v>189</v>
      </c>
      <c r="E32" s="230"/>
      <c r="F32" s="230"/>
      <c r="G32" s="230"/>
      <c r="H32" s="230">
        <v>28</v>
      </c>
      <c r="I32" s="230"/>
      <c r="J32" s="230">
        <v>28</v>
      </c>
      <c r="K32" s="230"/>
      <c r="L32" s="230"/>
      <c r="M32" s="230"/>
      <c r="N32" s="230"/>
      <c r="O32" s="230"/>
      <c r="P32" s="230"/>
      <c r="Q32" s="230">
        <v>1</v>
      </c>
      <c r="R32" s="230">
        <v>28</v>
      </c>
      <c r="S32" s="222">
        <f t="shared" si="1"/>
        <v>2.58</v>
      </c>
      <c r="T32" s="222">
        <f t="shared" si="2"/>
        <v>3.55</v>
      </c>
      <c r="U32" s="231">
        <v>2.58</v>
      </c>
      <c r="V32" s="231">
        <v>3.55</v>
      </c>
      <c r="W32" s="221" t="str">
        <f t="shared" si="3"/>
        <v>50.8*43.18*10.16</v>
      </c>
      <c r="X32" s="223">
        <v>20</v>
      </c>
      <c r="Y32" s="223">
        <v>17</v>
      </c>
      <c r="Z32" s="223">
        <v>4</v>
      </c>
      <c r="AA32" s="214">
        <f t="shared" si="4"/>
        <v>50.8</v>
      </c>
      <c r="AB32" s="214">
        <f t="shared" si="0"/>
        <v>43.18</v>
      </c>
      <c r="AC32" s="214">
        <f t="shared" si="0"/>
        <v>10.16</v>
      </c>
    </row>
    <row r="33" spans="1:29">
      <c r="A33" s="230">
        <v>44</v>
      </c>
      <c r="B33" s="230"/>
      <c r="C33" s="230">
        <v>44</v>
      </c>
      <c r="D33" s="230" t="s">
        <v>189</v>
      </c>
      <c r="E33" s="230"/>
      <c r="F33" s="230"/>
      <c r="G33" s="230"/>
      <c r="H33" s="230">
        <v>28</v>
      </c>
      <c r="I33" s="230"/>
      <c r="J33" s="230"/>
      <c r="K33" s="230"/>
      <c r="L33" s="230"/>
      <c r="M33" s="230">
        <v>28</v>
      </c>
      <c r="N33" s="230"/>
      <c r="O33" s="230"/>
      <c r="P33" s="230"/>
      <c r="Q33" s="230">
        <v>1</v>
      </c>
      <c r="R33" s="230">
        <v>28</v>
      </c>
      <c r="S33" s="222">
        <f t="shared" si="1"/>
        <v>3.3</v>
      </c>
      <c r="T33" s="222">
        <f t="shared" si="2"/>
        <v>4.12</v>
      </c>
      <c r="U33" s="231">
        <v>3.3</v>
      </c>
      <c r="V33" s="231">
        <v>4.12</v>
      </c>
      <c r="W33" s="221" t="str">
        <f t="shared" si="3"/>
        <v>50.8*43.18*11.43</v>
      </c>
      <c r="X33" s="223">
        <v>20</v>
      </c>
      <c r="Y33" s="223">
        <v>17</v>
      </c>
      <c r="Z33" s="223">
        <v>4.5</v>
      </c>
      <c r="AA33" s="214">
        <f t="shared" si="4"/>
        <v>50.8</v>
      </c>
      <c r="AB33" s="214">
        <f t="shared" si="0"/>
        <v>43.18</v>
      </c>
      <c r="AC33" s="214">
        <f t="shared" si="0"/>
        <v>11.43</v>
      </c>
    </row>
    <row r="34" spans="1:29">
      <c r="A34" s="230" t="s">
        <v>259</v>
      </c>
      <c r="B34" s="230"/>
      <c r="C34" s="230"/>
      <c r="D34" s="230" t="s">
        <v>198</v>
      </c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22"/>
      <c r="T34" s="222"/>
      <c r="U34" s="231"/>
      <c r="V34" s="231"/>
      <c r="W34" s="221"/>
      <c r="X34" s="223">
        <v>19</v>
      </c>
      <c r="Y34" s="223">
        <v>11</v>
      </c>
      <c r="Z34" s="223">
        <v>4.5</v>
      </c>
      <c r="AA34" s="214">
        <f t="shared" si="4"/>
        <v>48.26</v>
      </c>
      <c r="AB34" s="214">
        <f t="shared" si="0"/>
        <v>27.94</v>
      </c>
      <c r="AC34" s="214">
        <f t="shared" si="0"/>
        <v>11.43</v>
      </c>
    </row>
    <row r="35" spans="1:29">
      <c r="A35" s="230">
        <v>45</v>
      </c>
      <c r="B35" s="230"/>
      <c r="C35" s="230">
        <v>45</v>
      </c>
      <c r="D35" s="230" t="s">
        <v>190</v>
      </c>
      <c r="E35" s="230"/>
      <c r="F35" s="230"/>
      <c r="G35" s="230"/>
      <c r="H35" s="230">
        <v>6</v>
      </c>
      <c r="I35" s="230"/>
      <c r="J35" s="230"/>
      <c r="K35" s="230">
        <v>6</v>
      </c>
      <c r="L35" s="230"/>
      <c r="M35" s="230"/>
      <c r="N35" s="230"/>
      <c r="O35" s="230"/>
      <c r="P35" s="230"/>
      <c r="Q35" s="230">
        <v>1</v>
      </c>
      <c r="R35" s="230">
        <v>6</v>
      </c>
      <c r="S35" s="222">
        <f t="shared" si="1"/>
        <v>1.1200000000000001</v>
      </c>
      <c r="T35" s="222">
        <f t="shared" si="2"/>
        <v>2.04</v>
      </c>
      <c r="U35" s="231">
        <v>1.1200000000000001</v>
      </c>
      <c r="V35" s="231">
        <v>2.04</v>
      </c>
      <c r="W35" s="221" t="str">
        <f t="shared" si="3"/>
        <v>25.4*22.86*8.89</v>
      </c>
      <c r="X35" s="223">
        <v>10</v>
      </c>
      <c r="Y35" s="223">
        <v>9</v>
      </c>
      <c r="Z35" s="223">
        <v>3.5</v>
      </c>
      <c r="AA35" s="214">
        <f t="shared" si="4"/>
        <v>25.4</v>
      </c>
      <c r="AB35" s="214">
        <f t="shared" si="4"/>
        <v>22.86</v>
      </c>
      <c r="AC35" s="214">
        <f t="shared" si="4"/>
        <v>8.89</v>
      </c>
    </row>
    <row r="36" spans="1:29">
      <c r="A36" s="230">
        <v>46</v>
      </c>
      <c r="B36" s="230"/>
      <c r="C36" s="230">
        <v>46</v>
      </c>
      <c r="D36" s="230" t="s">
        <v>190</v>
      </c>
      <c r="E36" s="230"/>
      <c r="F36" s="230"/>
      <c r="G36" s="230"/>
      <c r="H36" s="230">
        <v>6</v>
      </c>
      <c r="I36" s="230"/>
      <c r="J36" s="230"/>
      <c r="K36" s="230"/>
      <c r="L36" s="230">
        <v>6</v>
      </c>
      <c r="M36" s="230"/>
      <c r="N36" s="230"/>
      <c r="O36" s="230"/>
      <c r="P36" s="230"/>
      <c r="Q36" s="230">
        <v>1</v>
      </c>
      <c r="R36" s="230">
        <v>6</v>
      </c>
      <c r="S36" s="222"/>
      <c r="T36" s="222"/>
      <c r="U36" s="231"/>
      <c r="V36" s="231"/>
      <c r="W36" s="221" t="str">
        <f t="shared" si="3"/>
        <v>25.4*22.86*8.89</v>
      </c>
      <c r="X36" s="223">
        <v>10</v>
      </c>
      <c r="Y36" s="223">
        <v>9</v>
      </c>
      <c r="Z36" s="223">
        <v>3.5</v>
      </c>
      <c r="AA36" s="214">
        <f t="shared" si="4"/>
        <v>25.4</v>
      </c>
      <c r="AB36" s="214">
        <f t="shared" si="4"/>
        <v>22.86</v>
      </c>
      <c r="AC36" s="214">
        <f t="shared" si="4"/>
        <v>8.89</v>
      </c>
    </row>
    <row r="37" spans="1:29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>
        <v>50</v>
      </c>
      <c r="N37" s="230"/>
      <c r="O37" s="230"/>
      <c r="P37" s="230"/>
      <c r="Q37" s="230"/>
      <c r="R37" s="230"/>
      <c r="S37" s="222"/>
      <c r="T37" s="222"/>
      <c r="U37" s="231"/>
      <c r="V37" s="231"/>
      <c r="W37" s="230"/>
      <c r="X37" s="223"/>
      <c r="Y37" s="223"/>
      <c r="Z37" s="223"/>
    </row>
    <row r="38" spans="1:29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22"/>
      <c r="T38" s="222"/>
      <c r="U38" s="231"/>
      <c r="V38" s="231"/>
      <c r="W38" s="230"/>
    </row>
    <row r="39" spans="1:29" s="216" customFormat="1" ht="14.25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>
        <f>SUM(M19:M38)</f>
        <v>366</v>
      </c>
      <c r="N39" s="232">
        <f>SUM(N19:N38)</f>
        <v>0</v>
      </c>
      <c r="O39" s="232">
        <f>SUM(O19:O38)</f>
        <v>0</v>
      </c>
      <c r="P39" s="232">
        <f>SUM(P19:P38)</f>
        <v>0</v>
      </c>
      <c r="Q39" s="232">
        <f>SUM(Q19:Q38)</f>
        <v>46</v>
      </c>
      <c r="R39" s="232">
        <f>SUM(R19:R38)</f>
        <v>1490</v>
      </c>
      <c r="S39" s="232"/>
      <c r="T39" s="305"/>
      <c r="U39" s="232">
        <f>SUM(U19:U38)</f>
        <v>156.50000000000003</v>
      </c>
      <c r="V39" s="305">
        <f>SUM(V19:V38)</f>
        <v>200.76000000000005</v>
      </c>
      <c r="W39" s="232"/>
    </row>
    <row r="40" spans="1:29" s="216" customFormat="1" ht="14.25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</row>
    <row r="41" spans="1:29">
      <c r="A41" s="223"/>
      <c r="B41" s="223"/>
      <c r="C41" s="223"/>
      <c r="D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4"/>
      <c r="T41" s="224"/>
      <c r="U41" s="224"/>
      <c r="V41" s="224"/>
      <c r="W41" s="215"/>
    </row>
    <row r="42" spans="1:29">
      <c r="D42" s="234" t="s">
        <v>191</v>
      </c>
      <c r="E42" s="234" t="s">
        <v>181</v>
      </c>
      <c r="F42" s="234" t="s">
        <v>192</v>
      </c>
      <c r="G42" s="234" t="s">
        <v>193</v>
      </c>
      <c r="H42" s="234" t="s">
        <v>59</v>
      </c>
      <c r="I42" s="234" t="s">
        <v>27</v>
      </c>
      <c r="J42" s="234" t="s">
        <v>28</v>
      </c>
      <c r="K42" s="234" t="s">
        <v>29</v>
      </c>
      <c r="L42" s="234" t="s">
        <v>30</v>
      </c>
      <c r="M42" s="234"/>
      <c r="N42" s="234"/>
      <c r="O42" s="234"/>
      <c r="P42" s="234"/>
      <c r="Q42" s="219" t="s">
        <v>31</v>
      </c>
      <c r="R42" s="219" t="s">
        <v>32</v>
      </c>
    </row>
    <row r="43" spans="1:29" ht="19.5" customHeight="1">
      <c r="D43" s="235" t="s">
        <v>207</v>
      </c>
      <c r="E43" s="235" t="s">
        <v>222</v>
      </c>
      <c r="F43" s="235" t="s">
        <v>220</v>
      </c>
      <c r="G43" s="235" t="s">
        <v>232</v>
      </c>
      <c r="H43" s="230"/>
      <c r="I43" s="230">
        <v>198</v>
      </c>
      <c r="J43" s="230">
        <v>297</v>
      </c>
      <c r="K43" s="230">
        <v>297</v>
      </c>
      <c r="L43" s="230">
        <v>198</v>
      </c>
      <c r="M43" s="234"/>
      <c r="N43" s="234"/>
      <c r="O43" s="234"/>
      <c r="P43" s="234"/>
      <c r="Q43" s="235">
        <v>30</v>
      </c>
      <c r="R43" s="235">
        <v>990</v>
      </c>
      <c r="X43" s="214">
        <f>+SUM(H43:L43)</f>
        <v>990</v>
      </c>
      <c r="Y43" s="214">
        <f>+R43-X43</f>
        <v>0</v>
      </c>
    </row>
    <row r="44" spans="1:29" ht="19.5" customHeight="1">
      <c r="D44" s="235" t="s">
        <v>207</v>
      </c>
      <c r="E44" s="235" t="s">
        <v>222</v>
      </c>
      <c r="F44" s="235" t="s">
        <v>223</v>
      </c>
      <c r="G44" s="235" t="s">
        <v>258</v>
      </c>
      <c r="H44" s="230"/>
      <c r="I44" s="230">
        <v>100</v>
      </c>
      <c r="J44" s="230">
        <v>150</v>
      </c>
      <c r="K44" s="230">
        <v>150</v>
      </c>
      <c r="L44" s="230">
        <v>100</v>
      </c>
      <c r="M44" s="234"/>
      <c r="N44" s="234"/>
      <c r="O44" s="234"/>
      <c r="P44" s="234"/>
      <c r="Q44" s="235">
        <v>16</v>
      </c>
      <c r="R44" s="235">
        <v>500</v>
      </c>
      <c r="X44" s="214">
        <f>+SUM(H44:L44)</f>
        <v>500</v>
      </c>
      <c r="Y44" s="214">
        <f>+R44-X44</f>
        <v>0</v>
      </c>
    </row>
    <row r="45" spans="1:29"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</row>
    <row r="46" spans="1:29">
      <c r="D46" s="215"/>
      <c r="E46" s="215"/>
      <c r="F46" s="215"/>
      <c r="G46" s="215"/>
      <c r="H46" s="215"/>
      <c r="I46" s="215"/>
      <c r="J46" s="215"/>
      <c r="K46" s="218" t="s">
        <v>33</v>
      </c>
      <c r="L46" s="215"/>
      <c r="M46" s="218"/>
      <c r="N46" s="218"/>
      <c r="O46" s="218"/>
      <c r="P46" s="218"/>
      <c r="Q46" s="218">
        <f>SUM(Q43:Q44)</f>
        <v>46</v>
      </c>
      <c r="R46" s="218">
        <f>SUM(R43:R44)</f>
        <v>1490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  <row r="68" s="214" customFormat="1"/>
    <row r="69" s="214" customFormat="1"/>
    <row r="70" s="214" customFormat="1"/>
    <row r="71" s="214" customFormat="1"/>
    <row r="72" s="214" customFormat="1"/>
    <row r="73" s="214" customFormat="1"/>
    <row r="74" s="214" customFormat="1"/>
    <row r="75" s="214" customFormat="1"/>
    <row r="76" s="214" customFormat="1"/>
    <row r="77" s="214" customFormat="1"/>
    <row r="78" s="214" customFormat="1"/>
    <row r="79" s="214" customFormat="1"/>
    <row r="80" s="214" customFormat="1"/>
    <row r="81" s="214" customFormat="1"/>
    <row r="82" s="214" customFormat="1"/>
    <row r="83" s="214" customFormat="1"/>
  </sheetData>
  <autoFilter ref="A18:ID18" xr:uid="{00000000-0009-0000-0000-000005000000}">
    <filterColumn colId="0" showButton="0"/>
    <filterColumn colId="1" showButton="0"/>
  </autoFilter>
  <mergeCells count="6">
    <mergeCell ref="A4:T4"/>
    <mergeCell ref="BT6:CH6"/>
    <mergeCell ref="A12:C12"/>
    <mergeCell ref="A14:C14"/>
    <mergeCell ref="A16:C16"/>
    <mergeCell ref="A18:C18"/>
  </mergeCells>
  <pageMargins left="0.24791666700000001" right="0.24791666700000001" top="0.98402777777777795" bottom="0.98402777777777795" header="0.51180555555555496" footer="0.51180555555555496"/>
  <pageSetup scale="56" fitToHeight="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D4F2-F190-4A5E-9752-3C5DFC845FBD}">
  <sheetPr>
    <pageSetUpPr fitToPage="1"/>
  </sheetPr>
  <dimension ref="A1:CH83"/>
  <sheetViews>
    <sheetView view="pageBreakPreview" topLeftCell="A34" zoomScale="85" zoomScaleNormal="70" zoomScaleSheetLayoutView="85" workbookViewId="0">
      <selection activeCell="R56" sqref="R56"/>
    </sheetView>
  </sheetViews>
  <sheetFormatPr defaultColWidth="11.25" defaultRowHeight="15"/>
  <cols>
    <col min="1" max="1" width="11.25" style="214"/>
    <col min="2" max="2" width="5.75" style="214" customWidth="1"/>
    <col min="3" max="3" width="7.625" style="214" customWidth="1"/>
    <col min="4" max="4" width="14.375" style="214" customWidth="1"/>
    <col min="5" max="5" width="10.25" style="214" customWidth="1"/>
    <col min="6" max="6" width="20.25" style="214" bestFit="1" customWidth="1"/>
    <col min="7" max="7" width="11" style="214" customWidth="1"/>
    <col min="8" max="8" width="9.25" style="214" customWidth="1"/>
    <col min="9" max="10" width="5.75" style="214" customWidth="1"/>
    <col min="11" max="11" width="6.75" style="214" customWidth="1"/>
    <col min="12" max="12" width="7.625" style="214" customWidth="1"/>
    <col min="13" max="16" width="7.25" style="214" hidden="1" customWidth="1"/>
    <col min="17" max="18" width="11.25" style="214"/>
    <col min="19" max="19" width="15" style="214" bestFit="1" customWidth="1"/>
    <col min="20" max="20" width="13.75" style="214" bestFit="1" customWidth="1"/>
    <col min="21" max="21" width="14.125" style="214" bestFit="1" customWidth="1"/>
    <col min="22" max="22" width="15" style="214" bestFit="1" customWidth="1"/>
    <col min="23" max="23" width="20.875" style="214" customWidth="1"/>
    <col min="24" max="24" width="11.25" style="214"/>
    <col min="25" max="28" width="11.25" style="214" customWidth="1"/>
    <col min="29" max="16384" width="11.25" style="214"/>
  </cols>
  <sheetData>
    <row r="1" spans="1:86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3" spans="1:86">
      <c r="A3" s="215"/>
      <c r="B3" s="215"/>
      <c r="C3" s="215"/>
      <c r="D3" s="215"/>
      <c r="E3" s="215"/>
      <c r="F3" s="215"/>
      <c r="G3" s="215"/>
      <c r="H3" s="215"/>
      <c r="M3" s="215"/>
      <c r="N3" s="215"/>
      <c r="O3" s="215"/>
      <c r="P3" s="215"/>
    </row>
    <row r="4" spans="1:86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</row>
    <row r="5" spans="1:86">
      <c r="H5" s="214" t="s">
        <v>43</v>
      </c>
    </row>
    <row r="6" spans="1:86">
      <c r="A6" s="216" t="s">
        <v>168</v>
      </c>
      <c r="B6" s="216"/>
      <c r="C6" s="216"/>
      <c r="E6" s="214" t="str">
        <f>+'[1]INVOICE 11'!C7</f>
        <v>SUPREME INTERNATIONAL, LLC</v>
      </c>
      <c r="G6" s="217"/>
      <c r="H6" s="214" t="s">
        <v>169</v>
      </c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</row>
    <row r="7" spans="1:86">
      <c r="A7" s="216"/>
      <c r="B7" s="216"/>
      <c r="C7" s="216"/>
      <c r="F7" s="217"/>
      <c r="G7" s="217"/>
      <c r="H7" s="214" t="s">
        <v>170</v>
      </c>
    </row>
    <row r="8" spans="1:86">
      <c r="A8" s="216"/>
      <c r="B8" s="216"/>
      <c r="C8" s="216"/>
      <c r="D8" s="225"/>
      <c r="E8" s="225"/>
      <c r="F8" s="225"/>
      <c r="G8" s="225"/>
      <c r="H8" s="214" t="s">
        <v>45</v>
      </c>
    </row>
    <row r="9" spans="1:86">
      <c r="A9" s="216"/>
      <c r="B9" s="216"/>
      <c r="C9" s="216"/>
      <c r="H9" s="214" t="s">
        <v>171</v>
      </c>
    </row>
    <row r="10" spans="1:86">
      <c r="A10" s="216"/>
      <c r="B10" s="216"/>
      <c r="C10" s="216"/>
      <c r="H10" s="214" t="s">
        <v>172</v>
      </c>
    </row>
    <row r="11" spans="1:86">
      <c r="A11" s="216"/>
      <c r="B11" s="216"/>
      <c r="C11" s="216"/>
    </row>
    <row r="12" spans="1:86">
      <c r="A12" s="291" t="s">
        <v>173</v>
      </c>
      <c r="B12" s="291"/>
      <c r="C12" s="291"/>
      <c r="H12" s="214" t="s">
        <v>174</v>
      </c>
    </row>
    <row r="13" spans="1:86">
      <c r="A13" s="216" t="s">
        <v>175</v>
      </c>
      <c r="B13" s="216" t="s">
        <v>208</v>
      </c>
      <c r="C13" s="216"/>
      <c r="H13" s="214" t="s">
        <v>176</v>
      </c>
    </row>
    <row r="14" spans="1:86">
      <c r="A14" s="291" t="s">
        <v>177</v>
      </c>
      <c r="B14" s="291"/>
      <c r="C14" s="291"/>
      <c r="E14" s="214" t="str">
        <f>+B13</f>
        <v>DV7</v>
      </c>
    </row>
    <row r="15" spans="1:86">
      <c r="A15" s="216" t="s">
        <v>178</v>
      </c>
      <c r="B15" s="216"/>
      <c r="C15" s="216"/>
      <c r="D15" s="214">
        <f>+'INVOICE 94'!M2</f>
        <v>7726477</v>
      </c>
      <c r="E15" s="216"/>
      <c r="S15" s="218"/>
      <c r="T15" s="218"/>
    </row>
    <row r="16" spans="1:86">
      <c r="A16" s="291" t="s">
        <v>179</v>
      </c>
      <c r="B16" s="291"/>
      <c r="C16" s="291"/>
    </row>
    <row r="18" spans="1:29">
      <c r="A18" s="292" t="s">
        <v>180</v>
      </c>
      <c r="B18" s="292"/>
      <c r="C18" s="292"/>
      <c r="D18" s="219" t="s">
        <v>182</v>
      </c>
      <c r="E18" s="219" t="s">
        <v>181</v>
      </c>
      <c r="F18" s="219" t="s">
        <v>183</v>
      </c>
      <c r="G18" s="219" t="s">
        <v>184</v>
      </c>
      <c r="H18" s="219" t="s">
        <v>26</v>
      </c>
      <c r="I18" s="219" t="s">
        <v>59</v>
      </c>
      <c r="J18" s="219" t="s">
        <v>27</v>
      </c>
      <c r="K18" s="219" t="s">
        <v>28</v>
      </c>
      <c r="L18" s="219" t="s">
        <v>29</v>
      </c>
      <c r="M18" s="219">
        <v>4</v>
      </c>
      <c r="N18" s="219">
        <v>5</v>
      </c>
      <c r="O18" s="219">
        <v>6</v>
      </c>
      <c r="P18" s="219" t="s">
        <v>165</v>
      </c>
      <c r="Q18" s="219" t="s">
        <v>31</v>
      </c>
      <c r="R18" s="219" t="s">
        <v>32</v>
      </c>
      <c r="S18" s="219" t="s">
        <v>185</v>
      </c>
      <c r="T18" s="219" t="s">
        <v>186</v>
      </c>
      <c r="U18" s="220" t="s">
        <v>188</v>
      </c>
      <c r="V18" s="219" t="s">
        <v>187</v>
      </c>
      <c r="W18" s="220" t="s">
        <v>203</v>
      </c>
    </row>
    <row r="19" spans="1:29">
      <c r="A19" s="221">
        <v>1</v>
      </c>
      <c r="B19" s="221"/>
      <c r="C19" s="221">
        <v>2</v>
      </c>
      <c r="D19" s="221"/>
      <c r="E19" s="221" t="s">
        <v>222</v>
      </c>
      <c r="F19" s="221" t="s">
        <v>231</v>
      </c>
      <c r="G19" s="221" t="s">
        <v>232</v>
      </c>
      <c r="H19" s="221">
        <v>36</v>
      </c>
      <c r="I19" s="221"/>
      <c r="J19" s="221">
        <v>36</v>
      </c>
      <c r="K19" s="221"/>
      <c r="L19" s="221"/>
      <c r="M19" s="221"/>
      <c r="N19" s="221"/>
      <c r="O19" s="221"/>
      <c r="P19" s="221"/>
      <c r="Q19" s="221">
        <v>2</v>
      </c>
      <c r="R19" s="221">
        <v>72</v>
      </c>
      <c r="S19" s="222">
        <f>+U19/Q19</f>
        <v>3.3200000000000003</v>
      </c>
      <c r="T19" s="222">
        <f>+V19/Q19</f>
        <v>4.32</v>
      </c>
      <c r="U19" s="222">
        <v>6.6400000000000006</v>
      </c>
      <c r="V19" s="222">
        <v>8.64</v>
      </c>
      <c r="W19" s="221" t="str">
        <f>AA19&amp;"*"&amp;AB19&amp;"*"&amp;AC19</f>
        <v>50.8*43.18*11.43</v>
      </c>
      <c r="X19" s="223">
        <v>20</v>
      </c>
      <c r="Y19" s="223">
        <v>17</v>
      </c>
      <c r="Z19" s="223">
        <v>4.5</v>
      </c>
      <c r="AA19" s="214">
        <f>+X19*2.54</f>
        <v>50.8</v>
      </c>
      <c r="AB19" s="214">
        <f t="shared" ref="AB19:AC34" si="0">+Y19*2.54</f>
        <v>43.18</v>
      </c>
      <c r="AC19" s="214">
        <f t="shared" si="0"/>
        <v>11.43</v>
      </c>
    </row>
    <row r="20" spans="1:29">
      <c r="A20" s="221">
        <v>3</v>
      </c>
      <c r="B20" s="221"/>
      <c r="C20" s="221">
        <v>6</v>
      </c>
      <c r="D20" s="221"/>
      <c r="E20" s="221"/>
      <c r="F20" s="221"/>
      <c r="G20" s="221"/>
      <c r="H20" s="221">
        <v>36</v>
      </c>
      <c r="I20" s="221"/>
      <c r="J20" s="221"/>
      <c r="K20" s="221">
        <v>36</v>
      </c>
      <c r="L20" s="221"/>
      <c r="M20" s="221"/>
      <c r="N20" s="221"/>
      <c r="O20" s="221"/>
      <c r="P20" s="221"/>
      <c r="Q20" s="221">
        <v>4</v>
      </c>
      <c r="R20" s="221">
        <v>144</v>
      </c>
      <c r="S20" s="222">
        <f t="shared" ref="S20:S37" si="1">+U20/Q20</f>
        <v>3.6399999999999997</v>
      </c>
      <c r="T20" s="222">
        <f t="shared" ref="T20:T37" si="2">+V20/Q20</f>
        <v>4.6399999999999997</v>
      </c>
      <c r="U20" s="222">
        <v>14.559999999999999</v>
      </c>
      <c r="V20" s="222">
        <v>18.559999999999999</v>
      </c>
      <c r="W20" s="221" t="str">
        <f t="shared" ref="W20:W36" si="3">AA20&amp;"*"&amp;AB20&amp;"*"&amp;AC20</f>
        <v>50.8*43.18*11.43</v>
      </c>
      <c r="X20" s="223">
        <v>20</v>
      </c>
      <c r="Y20" s="223">
        <v>17</v>
      </c>
      <c r="Z20" s="223">
        <v>4.5</v>
      </c>
      <c r="AA20" s="214">
        <f t="shared" ref="AA20:AC36" si="4">+X20*2.54</f>
        <v>50.8</v>
      </c>
      <c r="AB20" s="214">
        <f t="shared" si="0"/>
        <v>43.18</v>
      </c>
      <c r="AC20" s="214">
        <f t="shared" si="0"/>
        <v>11.43</v>
      </c>
    </row>
    <row r="21" spans="1:29">
      <c r="A21" s="230">
        <v>7</v>
      </c>
      <c r="B21" s="230"/>
      <c r="C21" s="230">
        <v>10</v>
      </c>
      <c r="D21" s="230"/>
      <c r="E21" s="230"/>
      <c r="F21" s="230"/>
      <c r="G21" s="230"/>
      <c r="H21" s="230">
        <v>36</v>
      </c>
      <c r="I21" s="230"/>
      <c r="J21" s="230"/>
      <c r="K21" s="230"/>
      <c r="L21" s="230">
        <v>36</v>
      </c>
      <c r="M21" s="230"/>
      <c r="N21" s="230"/>
      <c r="O21" s="230"/>
      <c r="P21" s="230"/>
      <c r="Q21" s="230">
        <v>4</v>
      </c>
      <c r="R21" s="230">
        <v>144</v>
      </c>
      <c r="S21" s="222">
        <f t="shared" si="1"/>
        <v>3.9299999999999997</v>
      </c>
      <c r="T21" s="222">
        <f t="shared" si="2"/>
        <v>4.96</v>
      </c>
      <c r="U21" s="231">
        <v>15.719999999999999</v>
      </c>
      <c r="V21" s="231">
        <v>19.84</v>
      </c>
      <c r="W21" s="221" t="str">
        <f t="shared" si="3"/>
        <v>50.8*43.18*12.7</v>
      </c>
      <c r="X21" s="223">
        <v>20</v>
      </c>
      <c r="Y21" s="223">
        <v>17</v>
      </c>
      <c r="Z21" s="223">
        <v>5</v>
      </c>
      <c r="AA21" s="214">
        <f t="shared" si="4"/>
        <v>50.8</v>
      </c>
      <c r="AB21" s="214">
        <f t="shared" si="0"/>
        <v>43.18</v>
      </c>
      <c r="AC21" s="214">
        <f t="shared" si="0"/>
        <v>12.7</v>
      </c>
    </row>
    <row r="22" spans="1:29">
      <c r="A22" s="230">
        <v>11</v>
      </c>
      <c r="B22" s="230"/>
      <c r="C22" s="230">
        <v>12</v>
      </c>
      <c r="D22" s="230"/>
      <c r="E22" s="230"/>
      <c r="F22" s="230"/>
      <c r="G22" s="230"/>
      <c r="H22" s="230">
        <v>36</v>
      </c>
      <c r="I22" s="230"/>
      <c r="J22" s="230"/>
      <c r="K22" s="230"/>
      <c r="L22" s="230"/>
      <c r="M22" s="230">
        <v>36</v>
      </c>
      <c r="N22" s="230"/>
      <c r="O22" s="230"/>
      <c r="P22" s="230"/>
      <c r="Q22" s="230">
        <v>2</v>
      </c>
      <c r="R22" s="230">
        <v>72</v>
      </c>
      <c r="S22" s="222">
        <f t="shared" si="1"/>
        <v>4.25</v>
      </c>
      <c r="T22" s="222">
        <f t="shared" si="2"/>
        <v>5.28</v>
      </c>
      <c r="U22" s="231">
        <v>8.5</v>
      </c>
      <c r="V22" s="231">
        <v>10.56</v>
      </c>
      <c r="W22" s="221" t="str">
        <f t="shared" si="3"/>
        <v>50.8*43.18*12.7</v>
      </c>
      <c r="X22" s="223">
        <v>20</v>
      </c>
      <c r="Y22" s="223">
        <v>17</v>
      </c>
      <c r="Z22" s="223">
        <v>5</v>
      </c>
      <c r="AA22" s="214">
        <f t="shared" si="4"/>
        <v>50.8</v>
      </c>
      <c r="AB22" s="214">
        <f t="shared" si="0"/>
        <v>43.18</v>
      </c>
      <c r="AC22" s="214">
        <f t="shared" si="0"/>
        <v>12.7</v>
      </c>
    </row>
    <row r="23" spans="1:29">
      <c r="A23" s="230">
        <v>13</v>
      </c>
      <c r="B23" s="230"/>
      <c r="C23" s="230">
        <v>13</v>
      </c>
      <c r="D23" s="230" t="s">
        <v>189</v>
      </c>
      <c r="E23" s="230"/>
      <c r="F23" s="230"/>
      <c r="G23" s="230"/>
      <c r="H23" s="230">
        <v>28</v>
      </c>
      <c r="I23" s="230"/>
      <c r="J23" s="230">
        <v>28</v>
      </c>
      <c r="K23" s="230"/>
      <c r="L23" s="230"/>
      <c r="M23" s="230"/>
      <c r="N23" s="230"/>
      <c r="O23" s="230"/>
      <c r="P23" s="230"/>
      <c r="Q23" s="230">
        <v>1</v>
      </c>
      <c r="R23" s="230">
        <v>28</v>
      </c>
      <c r="S23" s="222">
        <f t="shared" si="1"/>
        <v>2.58</v>
      </c>
      <c r="T23" s="222">
        <f t="shared" si="2"/>
        <v>3.48</v>
      </c>
      <c r="U23" s="231">
        <v>2.58</v>
      </c>
      <c r="V23" s="231">
        <v>3.48</v>
      </c>
      <c r="W23" s="221" t="str">
        <f t="shared" si="3"/>
        <v>50.8*43.18*10.16</v>
      </c>
      <c r="X23" s="223">
        <v>20</v>
      </c>
      <c r="Y23" s="223">
        <v>17</v>
      </c>
      <c r="Z23" s="223">
        <v>4</v>
      </c>
      <c r="AA23" s="214">
        <f t="shared" si="4"/>
        <v>50.8</v>
      </c>
      <c r="AB23" s="214">
        <f t="shared" si="0"/>
        <v>43.18</v>
      </c>
      <c r="AC23" s="214">
        <f t="shared" si="0"/>
        <v>10.16</v>
      </c>
    </row>
    <row r="24" spans="1:29">
      <c r="A24" s="230">
        <v>14</v>
      </c>
      <c r="B24" s="230"/>
      <c r="C24" s="230">
        <v>14</v>
      </c>
      <c r="D24" s="230" t="s">
        <v>189</v>
      </c>
      <c r="E24" s="230"/>
      <c r="F24" s="230"/>
      <c r="G24" s="230"/>
      <c r="H24" s="230">
        <v>28</v>
      </c>
      <c r="I24" s="230"/>
      <c r="J24" s="230"/>
      <c r="K24" s="230"/>
      <c r="L24" s="230"/>
      <c r="M24" s="230">
        <v>28</v>
      </c>
      <c r="N24" s="230"/>
      <c r="O24" s="230"/>
      <c r="P24" s="230"/>
      <c r="Q24" s="230">
        <v>1</v>
      </c>
      <c r="R24" s="230">
        <v>28</v>
      </c>
      <c r="S24" s="222">
        <f t="shared" si="1"/>
        <v>3.3</v>
      </c>
      <c r="T24" s="222">
        <f t="shared" si="2"/>
        <v>4.2699999999999996</v>
      </c>
      <c r="U24" s="231">
        <v>3.3</v>
      </c>
      <c r="V24" s="231">
        <v>4.2699999999999996</v>
      </c>
      <c r="W24" s="221" t="str">
        <f t="shared" si="3"/>
        <v>50.8*43.18*11.43</v>
      </c>
      <c r="X24" s="223">
        <v>20</v>
      </c>
      <c r="Y24" s="223">
        <v>17</v>
      </c>
      <c r="Z24" s="223">
        <v>4.5</v>
      </c>
      <c r="AA24" s="214">
        <f t="shared" si="4"/>
        <v>50.8</v>
      </c>
      <c r="AB24" s="214">
        <f t="shared" si="0"/>
        <v>43.18</v>
      </c>
      <c r="AC24" s="214">
        <f t="shared" si="0"/>
        <v>11.43</v>
      </c>
    </row>
    <row r="25" spans="1:29">
      <c r="A25" s="230" t="s">
        <v>256</v>
      </c>
      <c r="B25" s="230"/>
      <c r="C25" s="230"/>
      <c r="D25" s="230" t="s">
        <v>198</v>
      </c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22"/>
      <c r="T25" s="222"/>
      <c r="U25" s="231"/>
      <c r="V25" s="231"/>
      <c r="W25" s="221" t="str">
        <f t="shared" si="3"/>
        <v>48.26*27.94*11.43</v>
      </c>
      <c r="X25" s="223">
        <v>19</v>
      </c>
      <c r="Y25" s="223">
        <v>11</v>
      </c>
      <c r="Z25" s="223">
        <v>4.5</v>
      </c>
      <c r="AA25" s="214">
        <f t="shared" si="4"/>
        <v>48.26</v>
      </c>
      <c r="AB25" s="214">
        <f t="shared" si="0"/>
        <v>27.94</v>
      </c>
      <c r="AC25" s="214">
        <f t="shared" si="0"/>
        <v>11.43</v>
      </c>
    </row>
    <row r="26" spans="1:29">
      <c r="A26" s="230">
        <v>15</v>
      </c>
      <c r="B26" s="230"/>
      <c r="C26" s="230">
        <v>15</v>
      </c>
      <c r="D26" s="230" t="s">
        <v>190</v>
      </c>
      <c r="E26" s="230"/>
      <c r="F26" s="230"/>
      <c r="G26" s="230"/>
      <c r="H26" s="230">
        <v>6</v>
      </c>
      <c r="I26" s="230"/>
      <c r="J26" s="230"/>
      <c r="K26" s="230">
        <v>6</v>
      </c>
      <c r="L26" s="230"/>
      <c r="M26" s="230"/>
      <c r="N26" s="230"/>
      <c r="O26" s="230"/>
      <c r="P26" s="230"/>
      <c r="Q26" s="230">
        <v>1</v>
      </c>
      <c r="R26" s="230">
        <v>6</v>
      </c>
      <c r="S26" s="222">
        <f t="shared" si="1"/>
        <v>1.28</v>
      </c>
      <c r="T26" s="222">
        <f t="shared" si="2"/>
        <v>2.14</v>
      </c>
      <c r="U26" s="231">
        <v>1.28</v>
      </c>
      <c r="V26" s="231">
        <v>2.14</v>
      </c>
      <c r="W26" s="221" t="str">
        <f t="shared" si="3"/>
        <v>25.4*22.86*8.89</v>
      </c>
      <c r="X26" s="223">
        <v>10</v>
      </c>
      <c r="Y26" s="223">
        <v>9</v>
      </c>
      <c r="Z26" s="223">
        <v>3.5</v>
      </c>
      <c r="AA26" s="214">
        <f t="shared" si="4"/>
        <v>25.4</v>
      </c>
      <c r="AB26" s="214">
        <f t="shared" si="0"/>
        <v>22.86</v>
      </c>
      <c r="AC26" s="214">
        <f t="shared" si="0"/>
        <v>8.89</v>
      </c>
    </row>
    <row r="27" spans="1:29">
      <c r="A27" s="230">
        <v>16</v>
      </c>
      <c r="B27" s="230"/>
      <c r="C27" s="230">
        <v>16</v>
      </c>
      <c r="D27" s="230" t="s">
        <v>190</v>
      </c>
      <c r="E27" s="230"/>
      <c r="F27" s="230"/>
      <c r="G27" s="230"/>
      <c r="H27" s="230">
        <v>6</v>
      </c>
      <c r="I27" s="230"/>
      <c r="J27" s="230"/>
      <c r="K27" s="230"/>
      <c r="L27" s="230">
        <v>6</v>
      </c>
      <c r="M27" s="230"/>
      <c r="N27" s="230"/>
      <c r="O27" s="230"/>
      <c r="P27" s="230"/>
      <c r="Q27" s="230"/>
      <c r="R27" s="230">
        <v>6</v>
      </c>
      <c r="S27" s="222"/>
      <c r="T27" s="222"/>
      <c r="U27" s="231"/>
      <c r="V27" s="231"/>
      <c r="W27" s="221" t="str">
        <f t="shared" si="3"/>
        <v>25.4*22.86*8.89</v>
      </c>
      <c r="X27" s="223">
        <v>10</v>
      </c>
      <c r="Y27" s="223">
        <v>9</v>
      </c>
      <c r="Z27" s="223">
        <v>3.5</v>
      </c>
      <c r="AA27" s="214">
        <f t="shared" si="4"/>
        <v>25.4</v>
      </c>
      <c r="AB27" s="214">
        <f t="shared" si="0"/>
        <v>22.86</v>
      </c>
      <c r="AC27" s="214">
        <f t="shared" si="0"/>
        <v>8.89</v>
      </c>
    </row>
    <row r="28" spans="1:29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>
        <v>100</v>
      </c>
      <c r="N28" s="230"/>
      <c r="O28" s="230"/>
      <c r="P28" s="230"/>
      <c r="Q28" s="230"/>
      <c r="R28" s="230"/>
      <c r="S28" s="222"/>
      <c r="T28" s="222"/>
      <c r="U28" s="231"/>
      <c r="V28" s="231"/>
      <c r="W28" s="221"/>
      <c r="X28" s="223"/>
      <c r="Y28" s="223"/>
      <c r="Z28" s="223"/>
      <c r="AA28" s="214">
        <f t="shared" si="4"/>
        <v>0</v>
      </c>
      <c r="AB28" s="214">
        <f t="shared" si="0"/>
        <v>0</v>
      </c>
      <c r="AC28" s="214">
        <f t="shared" si="0"/>
        <v>0</v>
      </c>
    </row>
    <row r="29" spans="1:29">
      <c r="A29" s="230">
        <v>17</v>
      </c>
      <c r="B29" s="230"/>
      <c r="C29" s="230">
        <v>17</v>
      </c>
      <c r="D29" s="230"/>
      <c r="E29" s="230" t="s">
        <v>222</v>
      </c>
      <c r="F29" s="230" t="s">
        <v>257</v>
      </c>
      <c r="G29" s="230" t="s">
        <v>258</v>
      </c>
      <c r="H29" s="230">
        <v>36</v>
      </c>
      <c r="I29" s="230"/>
      <c r="J29" s="230">
        <v>36</v>
      </c>
      <c r="K29" s="230"/>
      <c r="L29" s="230"/>
      <c r="M29" s="230"/>
      <c r="N29" s="230"/>
      <c r="O29" s="230"/>
      <c r="P29" s="230"/>
      <c r="Q29" s="230">
        <v>1</v>
      </c>
      <c r="R29" s="230">
        <v>36</v>
      </c>
      <c r="S29" s="222">
        <f t="shared" si="1"/>
        <v>3.3200000000000003</v>
      </c>
      <c r="T29" s="222">
        <f t="shared" si="2"/>
        <v>4.32</v>
      </c>
      <c r="U29" s="231">
        <v>3.3200000000000003</v>
      </c>
      <c r="V29" s="231">
        <v>4.32</v>
      </c>
      <c r="W29" s="221" t="str">
        <f t="shared" si="3"/>
        <v>50.8*43.18*11.43</v>
      </c>
      <c r="X29" s="223">
        <v>20</v>
      </c>
      <c r="Y29" s="223">
        <v>17</v>
      </c>
      <c r="Z29" s="223">
        <v>4.5</v>
      </c>
      <c r="AA29" s="214">
        <f t="shared" si="4"/>
        <v>50.8</v>
      </c>
      <c r="AB29" s="214">
        <f t="shared" si="0"/>
        <v>43.18</v>
      </c>
      <c r="AC29" s="214">
        <f t="shared" si="0"/>
        <v>11.43</v>
      </c>
    </row>
    <row r="30" spans="1:29">
      <c r="A30" s="230">
        <v>18</v>
      </c>
      <c r="B30" s="230"/>
      <c r="C30" s="230">
        <v>18</v>
      </c>
      <c r="D30" s="230"/>
      <c r="E30" s="230"/>
      <c r="F30" s="230"/>
      <c r="G30" s="230"/>
      <c r="H30" s="230">
        <v>36</v>
      </c>
      <c r="I30" s="230"/>
      <c r="J30" s="230"/>
      <c r="K30" s="230">
        <v>36</v>
      </c>
      <c r="L30" s="230"/>
      <c r="M30" s="230"/>
      <c r="N30" s="230"/>
      <c r="O30" s="230"/>
      <c r="P30" s="230"/>
      <c r="Q30" s="230">
        <v>1</v>
      </c>
      <c r="R30" s="230">
        <v>36</v>
      </c>
      <c r="S30" s="222">
        <f t="shared" si="1"/>
        <v>3.6399999999999997</v>
      </c>
      <c r="T30" s="222">
        <f t="shared" si="2"/>
        <v>4.6399999999999997</v>
      </c>
      <c r="U30" s="231">
        <v>3.6399999999999997</v>
      </c>
      <c r="V30" s="231">
        <v>4.6399999999999997</v>
      </c>
      <c r="W30" s="221" t="str">
        <f t="shared" si="3"/>
        <v>50.8*43.18*11.43</v>
      </c>
      <c r="X30" s="223">
        <v>20</v>
      </c>
      <c r="Y30" s="223">
        <v>17</v>
      </c>
      <c r="Z30" s="223">
        <v>4.5</v>
      </c>
      <c r="AA30" s="214">
        <f t="shared" si="4"/>
        <v>50.8</v>
      </c>
      <c r="AB30" s="214">
        <f t="shared" si="0"/>
        <v>43.18</v>
      </c>
      <c r="AC30" s="214">
        <f t="shared" si="0"/>
        <v>11.43</v>
      </c>
    </row>
    <row r="31" spans="1:29">
      <c r="A31" s="230">
        <v>19</v>
      </c>
      <c r="B31" s="230"/>
      <c r="C31" s="230">
        <v>19</v>
      </c>
      <c r="D31" s="230"/>
      <c r="E31" s="230"/>
      <c r="F31" s="230"/>
      <c r="G31" s="230"/>
      <c r="H31" s="230">
        <v>39</v>
      </c>
      <c r="I31" s="230"/>
      <c r="J31" s="230"/>
      <c r="K31" s="230">
        <v>39</v>
      </c>
      <c r="L31" s="230"/>
      <c r="M31" s="230"/>
      <c r="N31" s="230"/>
      <c r="O31" s="230"/>
      <c r="P31" s="230"/>
      <c r="Q31" s="230">
        <v>1</v>
      </c>
      <c r="R31" s="230">
        <v>39</v>
      </c>
      <c r="S31" s="222">
        <f t="shared" si="1"/>
        <v>3.94</v>
      </c>
      <c r="T31" s="222">
        <f t="shared" si="2"/>
        <v>4.96</v>
      </c>
      <c r="U31" s="231">
        <v>3.94</v>
      </c>
      <c r="V31" s="231">
        <v>4.96</v>
      </c>
      <c r="W31" s="221" t="str">
        <f t="shared" si="3"/>
        <v>50.8*43.18*12.7</v>
      </c>
      <c r="X31" s="223">
        <v>20</v>
      </c>
      <c r="Y31" s="223">
        <v>17</v>
      </c>
      <c r="Z31" s="223">
        <v>5</v>
      </c>
      <c r="AA31" s="214">
        <f t="shared" si="4"/>
        <v>50.8</v>
      </c>
      <c r="AB31" s="214">
        <f t="shared" si="0"/>
        <v>43.18</v>
      </c>
      <c r="AC31" s="214">
        <f t="shared" si="0"/>
        <v>12.7</v>
      </c>
    </row>
    <row r="32" spans="1:29">
      <c r="A32" s="230">
        <v>20</v>
      </c>
      <c r="B32" s="230"/>
      <c r="C32" s="230">
        <v>20</v>
      </c>
      <c r="D32" s="230"/>
      <c r="E32" s="230"/>
      <c r="F32" s="230"/>
      <c r="G32" s="230"/>
      <c r="H32" s="230">
        <v>36</v>
      </c>
      <c r="I32" s="230"/>
      <c r="J32" s="230"/>
      <c r="K32" s="230"/>
      <c r="L32" s="230">
        <v>36</v>
      </c>
      <c r="M32" s="230"/>
      <c r="N32" s="230"/>
      <c r="O32" s="230"/>
      <c r="P32" s="230"/>
      <c r="Q32" s="230">
        <v>1</v>
      </c>
      <c r="R32" s="230">
        <v>36</v>
      </c>
      <c r="S32" s="222">
        <f t="shared" si="1"/>
        <v>3.9299999999999997</v>
      </c>
      <c r="T32" s="222">
        <f t="shared" si="2"/>
        <v>4.96</v>
      </c>
      <c r="U32" s="231">
        <v>3.9299999999999997</v>
      </c>
      <c r="V32" s="231">
        <v>4.96</v>
      </c>
      <c r="W32" s="221" t="str">
        <f t="shared" si="3"/>
        <v>50.8*43.18*11.43</v>
      </c>
      <c r="X32" s="223">
        <v>20</v>
      </c>
      <c r="Y32" s="223">
        <v>17</v>
      </c>
      <c r="Z32" s="223">
        <v>4.5</v>
      </c>
      <c r="AA32" s="214">
        <f t="shared" si="4"/>
        <v>50.8</v>
      </c>
      <c r="AB32" s="214">
        <f t="shared" si="0"/>
        <v>43.18</v>
      </c>
      <c r="AC32" s="214">
        <f t="shared" si="0"/>
        <v>11.43</v>
      </c>
    </row>
    <row r="33" spans="1:29">
      <c r="A33" s="230">
        <v>21</v>
      </c>
      <c r="B33" s="230"/>
      <c r="C33" s="230">
        <v>21</v>
      </c>
      <c r="D33" s="230"/>
      <c r="E33" s="230"/>
      <c r="F33" s="230"/>
      <c r="G33" s="230"/>
      <c r="H33" s="230">
        <v>39</v>
      </c>
      <c r="I33" s="230"/>
      <c r="J33" s="230"/>
      <c r="K33" s="230"/>
      <c r="L33" s="230">
        <v>39</v>
      </c>
      <c r="M33" s="230"/>
      <c r="N33" s="230"/>
      <c r="O33" s="230"/>
      <c r="P33" s="230"/>
      <c r="Q33" s="230">
        <v>1</v>
      </c>
      <c r="R33" s="230">
        <v>39</v>
      </c>
      <c r="S33" s="222">
        <f t="shared" si="1"/>
        <v>4.26</v>
      </c>
      <c r="T33" s="222">
        <f t="shared" si="2"/>
        <v>5.3</v>
      </c>
      <c r="U33" s="231">
        <v>4.26</v>
      </c>
      <c r="V33" s="231">
        <v>5.3</v>
      </c>
      <c r="W33" s="221" t="str">
        <f t="shared" si="3"/>
        <v>50.8*43.18*12.7</v>
      </c>
      <c r="X33" s="223">
        <v>20</v>
      </c>
      <c r="Y33" s="223">
        <v>17</v>
      </c>
      <c r="Z33" s="223">
        <v>5</v>
      </c>
      <c r="AA33" s="214">
        <f t="shared" si="4"/>
        <v>50.8</v>
      </c>
      <c r="AB33" s="214">
        <f t="shared" si="0"/>
        <v>43.18</v>
      </c>
      <c r="AC33" s="214">
        <f t="shared" si="0"/>
        <v>12.7</v>
      </c>
    </row>
    <row r="34" spans="1:29">
      <c r="A34" s="230">
        <v>22</v>
      </c>
      <c r="B34" s="230"/>
      <c r="C34" s="230">
        <v>22</v>
      </c>
      <c r="D34" s="230"/>
      <c r="E34" s="230"/>
      <c r="F34" s="230"/>
      <c r="G34" s="230"/>
      <c r="H34" s="230">
        <v>36</v>
      </c>
      <c r="I34" s="230"/>
      <c r="J34" s="230"/>
      <c r="K34" s="230"/>
      <c r="L34" s="230"/>
      <c r="M34" s="230">
        <v>36</v>
      </c>
      <c r="N34" s="230"/>
      <c r="O34" s="230"/>
      <c r="P34" s="230"/>
      <c r="Q34" s="230">
        <v>1</v>
      </c>
      <c r="R34" s="230">
        <v>36</v>
      </c>
      <c r="S34" s="222">
        <f t="shared" si="1"/>
        <v>4.25</v>
      </c>
      <c r="T34" s="222">
        <f t="shared" si="2"/>
        <v>5.28</v>
      </c>
      <c r="U34" s="231">
        <v>4.25</v>
      </c>
      <c r="V34" s="231">
        <v>5.28</v>
      </c>
      <c r="W34" s="221" t="str">
        <f t="shared" si="3"/>
        <v>50.8*43.18*12.7</v>
      </c>
      <c r="X34" s="223">
        <v>20</v>
      </c>
      <c r="Y34" s="223">
        <v>17</v>
      </c>
      <c r="Z34" s="223">
        <v>5</v>
      </c>
      <c r="AA34" s="214">
        <f t="shared" si="4"/>
        <v>50.8</v>
      </c>
      <c r="AB34" s="214">
        <f t="shared" si="0"/>
        <v>43.18</v>
      </c>
      <c r="AC34" s="214">
        <f t="shared" si="0"/>
        <v>12.7</v>
      </c>
    </row>
    <row r="35" spans="1:29">
      <c r="A35" s="230">
        <v>23</v>
      </c>
      <c r="B35" s="230"/>
      <c r="C35" s="230">
        <v>23</v>
      </c>
      <c r="D35" s="230" t="s">
        <v>189</v>
      </c>
      <c r="E35" s="230"/>
      <c r="F35" s="230"/>
      <c r="G35" s="230"/>
      <c r="H35" s="230">
        <v>14</v>
      </c>
      <c r="I35" s="230"/>
      <c r="J35" s="230">
        <v>14</v>
      </c>
      <c r="K35" s="230"/>
      <c r="L35" s="230"/>
      <c r="M35" s="230"/>
      <c r="N35" s="230"/>
      <c r="O35" s="230"/>
      <c r="P35" s="230"/>
      <c r="Q35" s="230">
        <v>1</v>
      </c>
      <c r="R35" s="230">
        <v>14</v>
      </c>
      <c r="S35" s="222">
        <f t="shared" si="1"/>
        <v>1.29</v>
      </c>
      <c r="T35" s="222">
        <f t="shared" si="2"/>
        <v>2.19</v>
      </c>
      <c r="U35" s="231">
        <v>1.29</v>
      </c>
      <c r="V35" s="231">
        <v>2.19</v>
      </c>
      <c r="W35" s="221" t="str">
        <f t="shared" si="3"/>
        <v>44.45*25.4*7.62</v>
      </c>
      <c r="X35" s="223">
        <v>17.5</v>
      </c>
      <c r="Y35" s="223">
        <v>10</v>
      </c>
      <c r="Z35" s="223">
        <v>3</v>
      </c>
      <c r="AA35" s="214">
        <f t="shared" si="4"/>
        <v>44.45</v>
      </c>
      <c r="AB35" s="214">
        <f t="shared" si="4"/>
        <v>25.4</v>
      </c>
      <c r="AC35" s="214">
        <f t="shared" si="4"/>
        <v>7.62</v>
      </c>
    </row>
    <row r="36" spans="1:29">
      <c r="A36" s="230">
        <v>24</v>
      </c>
      <c r="B36" s="230"/>
      <c r="C36" s="230">
        <v>24</v>
      </c>
      <c r="D36" s="230" t="s">
        <v>189</v>
      </c>
      <c r="E36" s="230"/>
      <c r="F36" s="230"/>
      <c r="G36" s="230"/>
      <c r="H36" s="230">
        <v>14</v>
      </c>
      <c r="I36" s="230"/>
      <c r="J36" s="230"/>
      <c r="K36" s="230"/>
      <c r="L36" s="230"/>
      <c r="M36" s="230">
        <v>14</v>
      </c>
      <c r="N36" s="230"/>
      <c r="O36" s="230"/>
      <c r="P36" s="230"/>
      <c r="Q36" s="230">
        <v>1</v>
      </c>
      <c r="R36" s="230">
        <v>14</v>
      </c>
      <c r="S36" s="222">
        <f t="shared" si="1"/>
        <v>1.65</v>
      </c>
      <c r="T36" s="222">
        <f t="shared" si="2"/>
        <v>2.5099999999999998</v>
      </c>
      <c r="U36" s="231">
        <v>1.65</v>
      </c>
      <c r="V36" s="231">
        <v>2.5099999999999998</v>
      </c>
      <c r="W36" s="221" t="str">
        <f t="shared" si="3"/>
        <v>44.45*25.4*7.62</v>
      </c>
      <c r="X36" s="223">
        <v>17.5</v>
      </c>
      <c r="Y36" s="223">
        <v>10</v>
      </c>
      <c r="Z36" s="223">
        <v>3</v>
      </c>
      <c r="AA36" s="214">
        <f t="shared" si="4"/>
        <v>44.45</v>
      </c>
      <c r="AB36" s="214">
        <f t="shared" si="4"/>
        <v>25.4</v>
      </c>
      <c r="AC36" s="214">
        <f t="shared" si="4"/>
        <v>7.62</v>
      </c>
    </row>
    <row r="37" spans="1:29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>
        <v>50</v>
      </c>
      <c r="N37" s="230"/>
      <c r="O37" s="230"/>
      <c r="P37" s="230"/>
      <c r="Q37" s="230"/>
      <c r="R37" s="230"/>
      <c r="S37" s="222"/>
      <c r="T37" s="222"/>
      <c r="U37" s="231"/>
      <c r="V37" s="231"/>
      <c r="W37" s="230"/>
      <c r="X37" s="223"/>
      <c r="Y37" s="223"/>
      <c r="Z37" s="223"/>
    </row>
    <row r="38" spans="1:29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22"/>
      <c r="T38" s="222"/>
      <c r="U38" s="231"/>
      <c r="V38" s="231"/>
      <c r="W38" s="230"/>
    </row>
    <row r="39" spans="1:29" s="216" customFormat="1" ht="14.25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>
        <f>SUM(M19:M38)</f>
        <v>264</v>
      </c>
      <c r="N39" s="232">
        <f>SUM(N19:N38)</f>
        <v>0</v>
      </c>
      <c r="O39" s="232">
        <f>SUM(O19:O38)</f>
        <v>0</v>
      </c>
      <c r="P39" s="232">
        <f>SUM(P19:P38)</f>
        <v>0</v>
      </c>
      <c r="Q39" s="232">
        <f>SUM(Q19:Q38)</f>
        <v>23</v>
      </c>
      <c r="R39" s="232">
        <f>SUM(R19:R38)</f>
        <v>750</v>
      </c>
      <c r="S39" s="232"/>
      <c r="T39" s="305"/>
      <c r="U39" s="232">
        <f>SUM(U19:U38)</f>
        <v>78.860000000000014</v>
      </c>
      <c r="V39" s="305">
        <f>SUM(V19:V38)</f>
        <v>101.64999999999999</v>
      </c>
      <c r="W39" s="232"/>
    </row>
    <row r="40" spans="1:29" s="216" customFormat="1" ht="14.25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</row>
    <row r="41" spans="1:29">
      <c r="A41" s="223"/>
      <c r="B41" s="223"/>
      <c r="C41" s="223"/>
      <c r="D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4"/>
      <c r="T41" s="224"/>
      <c r="U41" s="224"/>
      <c r="V41" s="224"/>
      <c r="W41" s="215"/>
    </row>
    <row r="42" spans="1:29">
      <c r="D42" s="234" t="s">
        <v>191</v>
      </c>
      <c r="E42" s="234" t="s">
        <v>181</v>
      </c>
      <c r="F42" s="234" t="s">
        <v>192</v>
      </c>
      <c r="G42" s="234" t="s">
        <v>193</v>
      </c>
      <c r="H42" s="234" t="s">
        <v>59</v>
      </c>
      <c r="I42" s="234" t="s">
        <v>27</v>
      </c>
      <c r="J42" s="234" t="s">
        <v>28</v>
      </c>
      <c r="K42" s="234" t="s">
        <v>29</v>
      </c>
      <c r="L42" s="234" t="s">
        <v>30</v>
      </c>
      <c r="M42" s="234"/>
      <c r="N42" s="234"/>
      <c r="O42" s="234"/>
      <c r="P42" s="234"/>
      <c r="Q42" s="219" t="s">
        <v>31</v>
      </c>
      <c r="R42" s="219" t="s">
        <v>32</v>
      </c>
    </row>
    <row r="43" spans="1:29">
      <c r="D43" s="235" t="s">
        <v>208</v>
      </c>
      <c r="E43" s="235" t="s">
        <v>222</v>
      </c>
      <c r="F43" s="235" t="s">
        <v>220</v>
      </c>
      <c r="G43" s="235" t="s">
        <v>232</v>
      </c>
      <c r="H43" s="230"/>
      <c r="I43" s="230">
        <v>100</v>
      </c>
      <c r="J43" s="230">
        <v>150</v>
      </c>
      <c r="K43" s="230">
        <v>150</v>
      </c>
      <c r="L43" s="230">
        <v>100</v>
      </c>
      <c r="M43" s="234"/>
      <c r="N43" s="234"/>
      <c r="O43" s="234"/>
      <c r="P43" s="234"/>
      <c r="Q43" s="235">
        <v>15</v>
      </c>
      <c r="R43" s="235">
        <v>500</v>
      </c>
      <c r="X43" s="214">
        <f>+SUM(H43:L43)</f>
        <v>500</v>
      </c>
      <c r="Y43" s="214">
        <f>+R43-X43</f>
        <v>0</v>
      </c>
    </row>
    <row r="44" spans="1:29">
      <c r="D44" s="235" t="s">
        <v>208</v>
      </c>
      <c r="E44" s="235" t="s">
        <v>222</v>
      </c>
      <c r="F44" s="235" t="s">
        <v>223</v>
      </c>
      <c r="G44" s="235" t="s">
        <v>258</v>
      </c>
      <c r="H44" s="230"/>
      <c r="I44" s="230">
        <v>50</v>
      </c>
      <c r="J44" s="230">
        <v>75</v>
      </c>
      <c r="K44" s="230">
        <v>75</v>
      </c>
      <c r="L44" s="230">
        <v>50</v>
      </c>
      <c r="M44" s="234"/>
      <c r="N44" s="234"/>
      <c r="O44" s="234"/>
      <c r="P44" s="234"/>
      <c r="Q44" s="235">
        <v>8</v>
      </c>
      <c r="R44" s="235">
        <v>250</v>
      </c>
      <c r="X44" s="214">
        <f>+SUM(H44:L44)</f>
        <v>250</v>
      </c>
      <c r="Y44" s="214">
        <f>+R44-X44</f>
        <v>0</v>
      </c>
    </row>
    <row r="45" spans="1:29"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</row>
    <row r="46" spans="1:29">
      <c r="D46" s="215"/>
      <c r="E46" s="215"/>
      <c r="F46" s="215"/>
      <c r="G46" s="215"/>
      <c r="H46" s="215"/>
      <c r="I46" s="215"/>
      <c r="J46" s="215"/>
      <c r="K46" s="218" t="s">
        <v>33</v>
      </c>
      <c r="L46" s="215"/>
      <c r="M46" s="218"/>
      <c r="N46" s="218"/>
      <c r="O46" s="218"/>
      <c r="P46" s="218"/>
      <c r="Q46" s="218">
        <f>SUM(Q43:Q44)</f>
        <v>23</v>
      </c>
      <c r="R46" s="218">
        <f>SUM(R43:R44)</f>
        <v>750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  <row r="68" s="214" customFormat="1"/>
    <row r="69" s="214" customFormat="1"/>
    <row r="70" s="214" customFormat="1"/>
    <row r="71" s="214" customFormat="1"/>
    <row r="72" s="214" customFormat="1"/>
    <row r="73" s="214" customFormat="1"/>
    <row r="74" s="214" customFormat="1"/>
    <row r="75" s="214" customFormat="1"/>
    <row r="76" s="214" customFormat="1"/>
    <row r="77" s="214" customFormat="1"/>
    <row r="78" s="214" customFormat="1"/>
    <row r="79" s="214" customFormat="1"/>
    <row r="80" s="214" customFormat="1"/>
    <row r="81" s="214" customFormat="1"/>
    <row r="82" s="214" customFormat="1"/>
    <row r="83" s="214" customFormat="1"/>
  </sheetData>
  <autoFilter ref="A18:IU41" xr:uid="{00000000-0009-0000-0000-000004000000}">
    <filterColumn colId="0" showButton="0"/>
    <filterColumn colId="1" showButton="0"/>
  </autoFilter>
  <mergeCells count="6">
    <mergeCell ref="A4:T4"/>
    <mergeCell ref="BT6:CH6"/>
    <mergeCell ref="A12:C12"/>
    <mergeCell ref="A14:C14"/>
    <mergeCell ref="A16:C16"/>
    <mergeCell ref="A18:C18"/>
  </mergeCells>
  <pageMargins left="0.24791666700000001" right="0.24791666700000001" top="0.48402777800000002" bottom="0.48402777800000002" header="0.51180555555555496" footer="0.51180555555555496"/>
  <pageSetup scale="56" fitToHeight="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BBD8-D3D4-48F3-96F0-0FEADD9F3667}">
  <sheetPr>
    <pageSetUpPr fitToPage="1"/>
  </sheetPr>
  <dimension ref="A1:CH83"/>
  <sheetViews>
    <sheetView view="pageBreakPreview" topLeftCell="A4" zoomScale="70" zoomScaleNormal="70" zoomScaleSheetLayoutView="70" workbookViewId="0">
      <selection activeCell="R56" sqref="R56"/>
    </sheetView>
  </sheetViews>
  <sheetFormatPr defaultColWidth="11.25" defaultRowHeight="15"/>
  <cols>
    <col min="1" max="1" width="11.25" style="214"/>
    <col min="2" max="2" width="5.75" style="214" customWidth="1"/>
    <col min="3" max="3" width="7.625" style="214" customWidth="1"/>
    <col min="4" max="4" width="14.375" style="214" customWidth="1"/>
    <col min="5" max="5" width="10.25" style="214" customWidth="1"/>
    <col min="6" max="6" width="20.25" style="214" bestFit="1" customWidth="1"/>
    <col min="7" max="7" width="11" style="214" customWidth="1"/>
    <col min="8" max="8" width="9.25" style="214" customWidth="1"/>
    <col min="9" max="10" width="5.75" style="214" customWidth="1"/>
    <col min="11" max="11" width="6.75" style="214" customWidth="1"/>
    <col min="12" max="12" width="7.625" style="214" customWidth="1"/>
    <col min="13" max="16" width="7.25" style="214" hidden="1" customWidth="1"/>
    <col min="17" max="18" width="11.25" style="214"/>
    <col min="19" max="19" width="15" style="214" bestFit="1" customWidth="1"/>
    <col min="20" max="20" width="13.75" style="214" bestFit="1" customWidth="1"/>
    <col min="21" max="21" width="14.125" style="214" bestFit="1" customWidth="1"/>
    <col min="22" max="22" width="15" style="214" bestFit="1" customWidth="1"/>
    <col min="23" max="23" width="20.875" style="214" customWidth="1"/>
    <col min="24" max="16384" width="11.25" style="214"/>
  </cols>
  <sheetData>
    <row r="1" spans="1:86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3" spans="1:86">
      <c r="A3" s="215"/>
      <c r="B3" s="215"/>
      <c r="C3" s="215"/>
      <c r="D3" s="215"/>
      <c r="E3" s="215"/>
      <c r="F3" s="215"/>
      <c r="G3" s="215"/>
      <c r="H3" s="215"/>
      <c r="M3" s="215"/>
      <c r="N3" s="215"/>
      <c r="O3" s="215"/>
      <c r="P3" s="215"/>
    </row>
    <row r="4" spans="1:86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</row>
    <row r="5" spans="1:86">
      <c r="H5" s="214" t="s">
        <v>43</v>
      </c>
    </row>
    <row r="6" spans="1:86">
      <c r="A6" s="216" t="s">
        <v>168</v>
      </c>
      <c r="B6" s="216"/>
      <c r="C6" s="216"/>
      <c r="E6" s="214" t="str">
        <f>+'[1]INVOICE 11'!C7</f>
        <v>SUPREME INTERNATIONAL, LLC</v>
      </c>
      <c r="G6" s="217"/>
      <c r="H6" s="214" t="s">
        <v>169</v>
      </c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</row>
    <row r="7" spans="1:86">
      <c r="A7" s="216"/>
      <c r="B7" s="216"/>
      <c r="C7" s="216"/>
      <c r="F7" s="217"/>
      <c r="G7" s="217"/>
      <c r="H7" s="214" t="s">
        <v>170</v>
      </c>
    </row>
    <row r="8" spans="1:86">
      <c r="A8" s="216"/>
      <c r="B8" s="216"/>
      <c r="C8" s="216"/>
      <c r="D8" s="225"/>
      <c r="E8" s="225"/>
      <c r="F8" s="225"/>
      <c r="G8" s="225"/>
      <c r="H8" s="214" t="s">
        <v>45</v>
      </c>
    </row>
    <row r="9" spans="1:86">
      <c r="A9" s="216"/>
      <c r="B9" s="216"/>
      <c r="C9" s="216"/>
      <c r="H9" s="214" t="s">
        <v>171</v>
      </c>
    </row>
    <row r="10" spans="1:86">
      <c r="A10" s="216"/>
      <c r="B10" s="216"/>
      <c r="C10" s="216"/>
      <c r="H10" s="214" t="s">
        <v>172</v>
      </c>
    </row>
    <row r="11" spans="1:86">
      <c r="A11" s="216"/>
      <c r="B11" s="216"/>
      <c r="C11" s="216"/>
    </row>
    <row r="12" spans="1:86">
      <c r="A12" s="291" t="s">
        <v>173</v>
      </c>
      <c r="B12" s="291"/>
      <c r="C12" s="291"/>
      <c r="H12" s="214" t="s">
        <v>174</v>
      </c>
    </row>
    <row r="13" spans="1:86">
      <c r="A13" s="216" t="s">
        <v>175</v>
      </c>
      <c r="B13" s="216" t="s">
        <v>208</v>
      </c>
      <c r="C13" s="216"/>
      <c r="H13" s="214" t="s">
        <v>176</v>
      </c>
    </row>
    <row r="14" spans="1:86">
      <c r="A14" s="291" t="s">
        <v>177</v>
      </c>
      <c r="B14" s="291"/>
      <c r="C14" s="291"/>
      <c r="E14" s="214" t="str">
        <f>+B13</f>
        <v>DV7</v>
      </c>
    </row>
    <row r="15" spans="1:86">
      <c r="A15" s="216" t="s">
        <v>178</v>
      </c>
      <c r="B15" s="216"/>
      <c r="C15" s="216"/>
      <c r="D15" s="214">
        <f>+'INVOICE 94'!M2</f>
        <v>7726477</v>
      </c>
      <c r="E15" s="216"/>
      <c r="S15" s="218"/>
      <c r="T15" s="218"/>
    </row>
    <row r="16" spans="1:86">
      <c r="A16" s="291" t="s">
        <v>179</v>
      </c>
      <c r="B16" s="291"/>
      <c r="C16" s="291"/>
    </row>
    <row r="18" spans="1:29">
      <c r="A18" s="292" t="s">
        <v>180</v>
      </c>
      <c r="B18" s="292"/>
      <c r="C18" s="292"/>
      <c r="D18" s="219" t="s">
        <v>182</v>
      </c>
      <c r="E18" s="219" t="s">
        <v>181</v>
      </c>
      <c r="F18" s="219" t="s">
        <v>183</v>
      </c>
      <c r="G18" s="219" t="s">
        <v>184</v>
      </c>
      <c r="H18" s="219" t="s">
        <v>26</v>
      </c>
      <c r="I18" s="219" t="s">
        <v>59</v>
      </c>
      <c r="J18" s="219" t="s">
        <v>27</v>
      </c>
      <c r="K18" s="219" t="s">
        <v>28</v>
      </c>
      <c r="L18" s="219" t="s">
        <v>29</v>
      </c>
      <c r="M18" s="219">
        <v>4</v>
      </c>
      <c r="N18" s="219">
        <v>5</v>
      </c>
      <c r="O18" s="219">
        <v>6</v>
      </c>
      <c r="P18" s="219" t="s">
        <v>165</v>
      </c>
      <c r="Q18" s="219" t="s">
        <v>31</v>
      </c>
      <c r="R18" s="219" t="s">
        <v>32</v>
      </c>
      <c r="S18" s="219" t="s">
        <v>185</v>
      </c>
      <c r="T18" s="219" t="s">
        <v>186</v>
      </c>
      <c r="U18" s="220" t="s">
        <v>188</v>
      </c>
      <c r="V18" s="219" t="s">
        <v>187</v>
      </c>
      <c r="W18" s="220" t="s">
        <v>203</v>
      </c>
    </row>
    <row r="19" spans="1:29">
      <c r="A19" s="221">
        <v>1</v>
      </c>
      <c r="B19" s="221"/>
      <c r="C19" s="221">
        <v>2</v>
      </c>
      <c r="D19" s="221"/>
      <c r="E19" s="221" t="s">
        <v>222</v>
      </c>
      <c r="F19" s="221" t="s">
        <v>231</v>
      </c>
      <c r="G19" s="221" t="s">
        <v>232</v>
      </c>
      <c r="H19" s="221">
        <v>36</v>
      </c>
      <c r="I19" s="221"/>
      <c r="J19" s="221">
        <v>36</v>
      </c>
      <c r="K19" s="221"/>
      <c r="L19" s="221"/>
      <c r="M19" s="221"/>
      <c r="N19" s="221"/>
      <c r="O19" s="221"/>
      <c r="P19" s="221"/>
      <c r="Q19" s="221">
        <v>2</v>
      </c>
      <c r="R19" s="221">
        <v>72</v>
      </c>
      <c r="S19" s="222">
        <f>+U19/Q19</f>
        <v>3.3200000000000003</v>
      </c>
      <c r="T19" s="222">
        <f>+V19/Q19</f>
        <v>4.32</v>
      </c>
      <c r="U19" s="222">
        <v>6.6400000000000006</v>
      </c>
      <c r="V19" s="222">
        <v>8.64</v>
      </c>
      <c r="W19" s="221" t="str">
        <f>AA19&amp;"*"&amp;AB19&amp;"*"&amp;AC19</f>
        <v>50.8*43.18*11.43</v>
      </c>
      <c r="X19" s="223">
        <v>20</v>
      </c>
      <c r="Y19" s="223">
        <v>17</v>
      </c>
      <c r="Z19" s="223">
        <v>4.5</v>
      </c>
      <c r="AA19" s="214">
        <f>+X19*2.54</f>
        <v>50.8</v>
      </c>
      <c r="AB19" s="214">
        <f t="shared" ref="AB19:AC34" si="0">+Y19*2.54</f>
        <v>43.18</v>
      </c>
      <c r="AC19" s="214">
        <f t="shared" si="0"/>
        <v>11.43</v>
      </c>
    </row>
    <row r="20" spans="1:29">
      <c r="A20" s="221">
        <v>3</v>
      </c>
      <c r="B20" s="221"/>
      <c r="C20" s="221">
        <v>6</v>
      </c>
      <c r="D20" s="221"/>
      <c r="E20" s="221"/>
      <c r="F20" s="221"/>
      <c r="G20" s="221"/>
      <c r="H20" s="221">
        <v>36</v>
      </c>
      <c r="I20" s="221"/>
      <c r="J20" s="221"/>
      <c r="K20" s="221">
        <v>36</v>
      </c>
      <c r="L20" s="221"/>
      <c r="M20" s="221"/>
      <c r="N20" s="221"/>
      <c r="O20" s="221"/>
      <c r="P20" s="221"/>
      <c r="Q20" s="221">
        <v>4</v>
      </c>
      <c r="R20" s="221">
        <v>144</v>
      </c>
      <c r="S20" s="222">
        <f t="shared" ref="S20:S37" si="1">+U20/Q20</f>
        <v>3.6399999999999997</v>
      </c>
      <c r="T20" s="222">
        <f t="shared" ref="T20:T37" si="2">+V20/Q20</f>
        <v>4.6399999999999997</v>
      </c>
      <c r="U20" s="222">
        <v>14.559999999999999</v>
      </c>
      <c r="V20" s="222">
        <v>18.559999999999999</v>
      </c>
      <c r="W20" s="221" t="str">
        <f t="shared" ref="W20:W36" si="3">AA20&amp;"*"&amp;AB20&amp;"*"&amp;AC20</f>
        <v>50.8*43.18*11.43</v>
      </c>
      <c r="X20" s="223">
        <v>20</v>
      </c>
      <c r="Y20" s="223">
        <v>17</v>
      </c>
      <c r="Z20" s="223">
        <v>4.5</v>
      </c>
      <c r="AA20" s="214">
        <f t="shared" ref="AA20:AC36" si="4">+X20*2.54</f>
        <v>50.8</v>
      </c>
      <c r="AB20" s="214">
        <f t="shared" si="0"/>
        <v>43.18</v>
      </c>
      <c r="AC20" s="214">
        <f t="shared" si="0"/>
        <v>11.43</v>
      </c>
    </row>
    <row r="21" spans="1:29">
      <c r="A21" s="230">
        <v>7</v>
      </c>
      <c r="B21" s="230"/>
      <c r="C21" s="230">
        <v>10</v>
      </c>
      <c r="D21" s="230"/>
      <c r="E21" s="230"/>
      <c r="F21" s="230"/>
      <c r="G21" s="230"/>
      <c r="H21" s="230">
        <v>36</v>
      </c>
      <c r="I21" s="230"/>
      <c r="J21" s="230"/>
      <c r="K21" s="230"/>
      <c r="L21" s="230">
        <v>36</v>
      </c>
      <c r="M21" s="230"/>
      <c r="N21" s="230"/>
      <c r="O21" s="230"/>
      <c r="P21" s="230"/>
      <c r="Q21" s="230">
        <v>4</v>
      </c>
      <c r="R21" s="230">
        <v>144</v>
      </c>
      <c r="S21" s="222">
        <f t="shared" si="1"/>
        <v>3.9299999999999997</v>
      </c>
      <c r="T21" s="222">
        <f t="shared" si="2"/>
        <v>4.96</v>
      </c>
      <c r="U21" s="231">
        <v>15.719999999999999</v>
      </c>
      <c r="V21" s="231">
        <v>19.84</v>
      </c>
      <c r="W21" s="221" t="str">
        <f t="shared" si="3"/>
        <v>50.8*43.18*12.7</v>
      </c>
      <c r="X21" s="223">
        <v>20</v>
      </c>
      <c r="Y21" s="223">
        <v>17</v>
      </c>
      <c r="Z21" s="223">
        <v>5</v>
      </c>
      <c r="AA21" s="214">
        <f t="shared" si="4"/>
        <v>50.8</v>
      </c>
      <c r="AB21" s="214">
        <f t="shared" si="0"/>
        <v>43.18</v>
      </c>
      <c r="AC21" s="214">
        <f t="shared" si="0"/>
        <v>12.7</v>
      </c>
    </row>
    <row r="22" spans="1:29">
      <c r="A22" s="230">
        <v>11</v>
      </c>
      <c r="B22" s="230"/>
      <c r="C22" s="230">
        <v>12</v>
      </c>
      <c r="D22" s="230"/>
      <c r="E22" s="230"/>
      <c r="F22" s="230"/>
      <c r="G22" s="230"/>
      <c r="H22" s="230">
        <v>36</v>
      </c>
      <c r="I22" s="230"/>
      <c r="J22" s="230"/>
      <c r="K22" s="230"/>
      <c r="L22" s="230"/>
      <c r="M22" s="230">
        <v>36</v>
      </c>
      <c r="N22" s="230"/>
      <c r="O22" s="230"/>
      <c r="P22" s="230"/>
      <c r="Q22" s="230">
        <v>2</v>
      </c>
      <c r="R22" s="230">
        <v>72</v>
      </c>
      <c r="S22" s="222">
        <f t="shared" si="1"/>
        <v>4.25</v>
      </c>
      <c r="T22" s="222">
        <f t="shared" si="2"/>
        <v>5.28</v>
      </c>
      <c r="U22" s="231">
        <v>8.5</v>
      </c>
      <c r="V22" s="231">
        <v>10.56</v>
      </c>
      <c r="W22" s="221" t="str">
        <f t="shared" si="3"/>
        <v>50.8*43.18*12.7</v>
      </c>
      <c r="X22" s="223">
        <v>20</v>
      </c>
      <c r="Y22" s="223">
        <v>17</v>
      </c>
      <c r="Z22" s="223">
        <v>5</v>
      </c>
      <c r="AA22" s="214">
        <f t="shared" si="4"/>
        <v>50.8</v>
      </c>
      <c r="AB22" s="214">
        <f t="shared" si="0"/>
        <v>43.18</v>
      </c>
      <c r="AC22" s="214">
        <f t="shared" si="0"/>
        <v>12.7</v>
      </c>
    </row>
    <row r="23" spans="1:29">
      <c r="A23" s="230">
        <v>13</v>
      </c>
      <c r="B23" s="230"/>
      <c r="C23" s="230">
        <v>13</v>
      </c>
      <c r="D23" s="230" t="s">
        <v>189</v>
      </c>
      <c r="E23" s="230"/>
      <c r="F23" s="230"/>
      <c r="G23" s="230"/>
      <c r="H23" s="230">
        <v>28</v>
      </c>
      <c r="I23" s="230"/>
      <c r="J23" s="230">
        <v>28</v>
      </c>
      <c r="K23" s="230"/>
      <c r="L23" s="230"/>
      <c r="M23" s="230"/>
      <c r="N23" s="230"/>
      <c r="O23" s="230"/>
      <c r="P23" s="230"/>
      <c r="Q23" s="230">
        <v>1</v>
      </c>
      <c r="R23" s="230">
        <v>28</v>
      </c>
      <c r="S23" s="222">
        <f t="shared" si="1"/>
        <v>2.58</v>
      </c>
      <c r="T23" s="222">
        <f t="shared" si="2"/>
        <v>3.48</v>
      </c>
      <c r="U23" s="231">
        <v>2.58</v>
      </c>
      <c r="V23" s="231">
        <v>3.48</v>
      </c>
      <c r="W23" s="221" t="str">
        <f t="shared" si="3"/>
        <v>50.8*43.18*10.16</v>
      </c>
      <c r="X23" s="223">
        <v>20</v>
      </c>
      <c r="Y23" s="223">
        <v>17</v>
      </c>
      <c r="Z23" s="223">
        <v>4</v>
      </c>
      <c r="AA23" s="214">
        <f t="shared" si="4"/>
        <v>50.8</v>
      </c>
      <c r="AB23" s="214">
        <f t="shared" si="0"/>
        <v>43.18</v>
      </c>
      <c r="AC23" s="214">
        <f t="shared" si="0"/>
        <v>10.16</v>
      </c>
    </row>
    <row r="24" spans="1:29">
      <c r="A24" s="230">
        <v>14</v>
      </c>
      <c r="B24" s="230"/>
      <c r="C24" s="230">
        <v>14</v>
      </c>
      <c r="D24" s="230" t="s">
        <v>189</v>
      </c>
      <c r="E24" s="230"/>
      <c r="F24" s="230"/>
      <c r="G24" s="230"/>
      <c r="H24" s="230">
        <v>28</v>
      </c>
      <c r="I24" s="230"/>
      <c r="J24" s="230"/>
      <c r="K24" s="230"/>
      <c r="L24" s="230"/>
      <c r="M24" s="230">
        <v>28</v>
      </c>
      <c r="N24" s="230"/>
      <c r="O24" s="230"/>
      <c r="P24" s="230"/>
      <c r="Q24" s="230">
        <v>1</v>
      </c>
      <c r="R24" s="230">
        <v>28</v>
      </c>
      <c r="S24" s="222">
        <f t="shared" si="1"/>
        <v>3.3</v>
      </c>
      <c r="T24" s="222">
        <f t="shared" si="2"/>
        <v>4.2699999999999996</v>
      </c>
      <c r="U24" s="231">
        <v>3.3</v>
      </c>
      <c r="V24" s="231">
        <v>4.2699999999999996</v>
      </c>
      <c r="W24" s="221" t="str">
        <f t="shared" si="3"/>
        <v>50.8*43.18*11.43</v>
      </c>
      <c r="X24" s="223">
        <v>20</v>
      </c>
      <c r="Y24" s="223">
        <v>17</v>
      </c>
      <c r="Z24" s="223">
        <v>4.5</v>
      </c>
      <c r="AA24" s="214">
        <f t="shared" si="4"/>
        <v>50.8</v>
      </c>
      <c r="AB24" s="214">
        <f t="shared" si="0"/>
        <v>43.18</v>
      </c>
      <c r="AC24" s="214">
        <f t="shared" si="0"/>
        <v>11.43</v>
      </c>
    </row>
    <row r="25" spans="1:29">
      <c r="A25" s="230" t="s">
        <v>256</v>
      </c>
      <c r="B25" s="230"/>
      <c r="C25" s="230"/>
      <c r="D25" s="230" t="s">
        <v>198</v>
      </c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22"/>
      <c r="T25" s="222"/>
      <c r="U25" s="231"/>
      <c r="V25" s="231"/>
      <c r="W25" s="221" t="str">
        <f t="shared" si="3"/>
        <v>48.26*27.94*11.43</v>
      </c>
      <c r="X25" s="223">
        <v>19</v>
      </c>
      <c r="Y25" s="223">
        <v>11</v>
      </c>
      <c r="Z25" s="223">
        <v>4.5</v>
      </c>
      <c r="AA25" s="214">
        <f t="shared" si="4"/>
        <v>48.26</v>
      </c>
      <c r="AB25" s="214">
        <f t="shared" si="0"/>
        <v>27.94</v>
      </c>
      <c r="AC25" s="214">
        <f t="shared" si="0"/>
        <v>11.43</v>
      </c>
    </row>
    <row r="26" spans="1:29">
      <c r="A26" s="230">
        <v>15</v>
      </c>
      <c r="B26" s="230"/>
      <c r="C26" s="230">
        <v>15</v>
      </c>
      <c r="D26" s="230" t="s">
        <v>190</v>
      </c>
      <c r="E26" s="230"/>
      <c r="F26" s="230"/>
      <c r="G26" s="230"/>
      <c r="H26" s="230">
        <v>6</v>
      </c>
      <c r="I26" s="230"/>
      <c r="J26" s="230"/>
      <c r="K26" s="230">
        <v>6</v>
      </c>
      <c r="L26" s="230"/>
      <c r="M26" s="230"/>
      <c r="N26" s="230"/>
      <c r="O26" s="230"/>
      <c r="P26" s="230"/>
      <c r="Q26" s="230">
        <v>1</v>
      </c>
      <c r="R26" s="230">
        <v>6</v>
      </c>
      <c r="S26" s="222">
        <f t="shared" si="1"/>
        <v>1.28</v>
      </c>
      <c r="T26" s="222">
        <f t="shared" si="2"/>
        <v>2.14</v>
      </c>
      <c r="U26" s="231">
        <v>1.28</v>
      </c>
      <c r="V26" s="231">
        <v>2.14</v>
      </c>
      <c r="W26" s="221" t="str">
        <f t="shared" si="3"/>
        <v>25.4*22.86*8.89</v>
      </c>
      <c r="X26" s="223">
        <v>10</v>
      </c>
      <c r="Y26" s="223">
        <v>9</v>
      </c>
      <c r="Z26" s="223">
        <v>3.5</v>
      </c>
      <c r="AA26" s="214">
        <f t="shared" si="4"/>
        <v>25.4</v>
      </c>
      <c r="AB26" s="214">
        <f t="shared" si="0"/>
        <v>22.86</v>
      </c>
      <c r="AC26" s="214">
        <f t="shared" si="0"/>
        <v>8.89</v>
      </c>
    </row>
    <row r="27" spans="1:29">
      <c r="A27" s="230">
        <v>16</v>
      </c>
      <c r="B27" s="230"/>
      <c r="C27" s="230">
        <v>16</v>
      </c>
      <c r="D27" s="230" t="s">
        <v>190</v>
      </c>
      <c r="E27" s="230"/>
      <c r="F27" s="230"/>
      <c r="G27" s="230"/>
      <c r="H27" s="230">
        <v>6</v>
      </c>
      <c r="I27" s="230"/>
      <c r="J27" s="230"/>
      <c r="K27" s="230"/>
      <c r="L27" s="230">
        <v>6</v>
      </c>
      <c r="M27" s="230"/>
      <c r="N27" s="230"/>
      <c r="O27" s="230"/>
      <c r="P27" s="230"/>
      <c r="Q27" s="230">
        <v>1</v>
      </c>
      <c r="R27" s="230">
        <v>6</v>
      </c>
      <c r="S27" s="222"/>
      <c r="T27" s="222"/>
      <c r="U27" s="231"/>
      <c r="V27" s="231"/>
      <c r="W27" s="221" t="str">
        <f t="shared" si="3"/>
        <v>25.4*22.86*8.89</v>
      </c>
      <c r="X27" s="223">
        <v>10</v>
      </c>
      <c r="Y27" s="223">
        <v>9</v>
      </c>
      <c r="Z27" s="223">
        <v>3.5</v>
      </c>
      <c r="AA27" s="214">
        <f t="shared" si="4"/>
        <v>25.4</v>
      </c>
      <c r="AB27" s="214">
        <f t="shared" si="0"/>
        <v>22.86</v>
      </c>
      <c r="AC27" s="214">
        <f t="shared" si="0"/>
        <v>8.89</v>
      </c>
    </row>
    <row r="28" spans="1:29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>
        <v>100</v>
      </c>
      <c r="N28" s="230"/>
      <c r="O28" s="230"/>
      <c r="P28" s="230"/>
      <c r="Q28" s="230"/>
      <c r="R28" s="230"/>
      <c r="S28" s="222"/>
      <c r="T28" s="222"/>
      <c r="U28" s="231"/>
      <c r="V28" s="231"/>
      <c r="W28" s="221"/>
      <c r="X28" s="223"/>
      <c r="Y28" s="223"/>
      <c r="Z28" s="223"/>
      <c r="AA28" s="214">
        <f t="shared" si="4"/>
        <v>0</v>
      </c>
      <c r="AB28" s="214">
        <f t="shared" si="0"/>
        <v>0</v>
      </c>
      <c r="AC28" s="214">
        <f t="shared" si="0"/>
        <v>0</v>
      </c>
    </row>
    <row r="29" spans="1:29">
      <c r="A29" s="230">
        <v>17</v>
      </c>
      <c r="B29" s="230"/>
      <c r="C29" s="230">
        <v>17</v>
      </c>
      <c r="D29" s="230"/>
      <c r="E29" s="230" t="s">
        <v>222</v>
      </c>
      <c r="F29" s="230" t="s">
        <v>257</v>
      </c>
      <c r="G29" s="230" t="s">
        <v>258</v>
      </c>
      <c r="H29" s="230">
        <v>36</v>
      </c>
      <c r="I29" s="230"/>
      <c r="J29" s="230">
        <v>36</v>
      </c>
      <c r="K29" s="230"/>
      <c r="L29" s="230"/>
      <c r="M29" s="230"/>
      <c r="N29" s="230"/>
      <c r="O29" s="230"/>
      <c r="P29" s="230"/>
      <c r="Q29" s="230">
        <v>1</v>
      </c>
      <c r="R29" s="230">
        <v>36</v>
      </c>
      <c r="S29" s="222">
        <f t="shared" si="1"/>
        <v>3.3200000000000003</v>
      </c>
      <c r="T29" s="222">
        <f t="shared" si="2"/>
        <v>4.32</v>
      </c>
      <c r="U29" s="231">
        <v>3.3200000000000003</v>
      </c>
      <c r="V29" s="231">
        <v>4.32</v>
      </c>
      <c r="W29" s="221" t="str">
        <f t="shared" si="3"/>
        <v>50.8*43.18*11.43</v>
      </c>
      <c r="X29" s="223">
        <v>20</v>
      </c>
      <c r="Y29" s="223">
        <v>17</v>
      </c>
      <c r="Z29" s="223">
        <v>4.5</v>
      </c>
      <c r="AA29" s="214">
        <f t="shared" si="4"/>
        <v>50.8</v>
      </c>
      <c r="AB29" s="214">
        <f t="shared" si="0"/>
        <v>43.18</v>
      </c>
      <c r="AC29" s="214">
        <f t="shared" si="0"/>
        <v>11.43</v>
      </c>
    </row>
    <row r="30" spans="1:29">
      <c r="A30" s="230">
        <v>18</v>
      </c>
      <c r="B30" s="230"/>
      <c r="C30" s="230">
        <v>18</v>
      </c>
      <c r="D30" s="230"/>
      <c r="E30" s="230"/>
      <c r="F30" s="230"/>
      <c r="G30" s="230"/>
      <c r="H30" s="230">
        <v>36</v>
      </c>
      <c r="I30" s="230"/>
      <c r="J30" s="230"/>
      <c r="K30" s="230">
        <v>36</v>
      </c>
      <c r="L30" s="230"/>
      <c r="M30" s="230"/>
      <c r="N30" s="230"/>
      <c r="O30" s="230"/>
      <c r="P30" s="230"/>
      <c r="Q30" s="230">
        <v>1</v>
      </c>
      <c r="R30" s="230">
        <v>36</v>
      </c>
      <c r="S30" s="222">
        <f t="shared" si="1"/>
        <v>3.6399999999999997</v>
      </c>
      <c r="T30" s="222">
        <f t="shared" si="2"/>
        <v>4.6399999999999997</v>
      </c>
      <c r="U30" s="231">
        <v>3.6399999999999997</v>
      </c>
      <c r="V30" s="231">
        <v>4.6399999999999997</v>
      </c>
      <c r="W30" s="221" t="str">
        <f t="shared" si="3"/>
        <v>50.8*43.18*11.43</v>
      </c>
      <c r="X30" s="223">
        <v>20</v>
      </c>
      <c r="Y30" s="223">
        <v>17</v>
      </c>
      <c r="Z30" s="223">
        <v>4.5</v>
      </c>
      <c r="AA30" s="214">
        <f t="shared" si="4"/>
        <v>50.8</v>
      </c>
      <c r="AB30" s="214">
        <f t="shared" si="0"/>
        <v>43.18</v>
      </c>
      <c r="AC30" s="214">
        <f t="shared" si="0"/>
        <v>11.43</v>
      </c>
    </row>
    <row r="31" spans="1:29">
      <c r="A31" s="230">
        <v>19</v>
      </c>
      <c r="B31" s="230"/>
      <c r="C31" s="230">
        <v>19</v>
      </c>
      <c r="D31" s="230"/>
      <c r="E31" s="230"/>
      <c r="F31" s="230"/>
      <c r="G31" s="230"/>
      <c r="H31" s="230">
        <v>39</v>
      </c>
      <c r="I31" s="230"/>
      <c r="J31" s="230"/>
      <c r="K31" s="230">
        <v>39</v>
      </c>
      <c r="L31" s="230"/>
      <c r="M31" s="230"/>
      <c r="N31" s="230"/>
      <c r="O31" s="230"/>
      <c r="P31" s="230"/>
      <c r="Q31" s="230">
        <v>1</v>
      </c>
      <c r="R31" s="230">
        <v>39</v>
      </c>
      <c r="S31" s="222">
        <f t="shared" si="1"/>
        <v>3.94</v>
      </c>
      <c r="T31" s="222">
        <f t="shared" si="2"/>
        <v>4.96</v>
      </c>
      <c r="U31" s="231">
        <v>3.94</v>
      </c>
      <c r="V31" s="231">
        <v>4.96</v>
      </c>
      <c r="W31" s="221" t="str">
        <f t="shared" si="3"/>
        <v>50.8*43.18*12.7</v>
      </c>
      <c r="X31" s="223">
        <v>20</v>
      </c>
      <c r="Y31" s="223">
        <v>17</v>
      </c>
      <c r="Z31" s="223">
        <v>5</v>
      </c>
      <c r="AA31" s="214">
        <f t="shared" si="4"/>
        <v>50.8</v>
      </c>
      <c r="AB31" s="214">
        <f t="shared" si="0"/>
        <v>43.18</v>
      </c>
      <c r="AC31" s="214">
        <f t="shared" si="0"/>
        <v>12.7</v>
      </c>
    </row>
    <row r="32" spans="1:29">
      <c r="A32" s="230">
        <v>20</v>
      </c>
      <c r="B32" s="230"/>
      <c r="C32" s="230">
        <v>20</v>
      </c>
      <c r="D32" s="230"/>
      <c r="E32" s="230"/>
      <c r="F32" s="230"/>
      <c r="G32" s="230"/>
      <c r="H32" s="230">
        <v>36</v>
      </c>
      <c r="I32" s="230"/>
      <c r="J32" s="230"/>
      <c r="K32" s="230"/>
      <c r="L32" s="230">
        <v>36</v>
      </c>
      <c r="M32" s="230"/>
      <c r="N32" s="230"/>
      <c r="O32" s="230"/>
      <c r="P32" s="230"/>
      <c r="Q32" s="230">
        <v>1</v>
      </c>
      <c r="R32" s="230">
        <v>36</v>
      </c>
      <c r="S32" s="222">
        <f t="shared" si="1"/>
        <v>3.9299999999999997</v>
      </c>
      <c r="T32" s="222">
        <f t="shared" si="2"/>
        <v>4.96</v>
      </c>
      <c r="U32" s="231">
        <v>3.9299999999999997</v>
      </c>
      <c r="V32" s="231">
        <v>4.96</v>
      </c>
      <c r="W32" s="221" t="str">
        <f t="shared" si="3"/>
        <v>50.8*43.18*11.43</v>
      </c>
      <c r="X32" s="223">
        <v>20</v>
      </c>
      <c r="Y32" s="223">
        <v>17</v>
      </c>
      <c r="Z32" s="223">
        <v>4.5</v>
      </c>
      <c r="AA32" s="214">
        <f t="shared" si="4"/>
        <v>50.8</v>
      </c>
      <c r="AB32" s="214">
        <f t="shared" si="0"/>
        <v>43.18</v>
      </c>
      <c r="AC32" s="214">
        <f t="shared" si="0"/>
        <v>11.43</v>
      </c>
    </row>
    <row r="33" spans="1:29">
      <c r="A33" s="230">
        <v>21</v>
      </c>
      <c r="B33" s="230"/>
      <c r="C33" s="230">
        <v>21</v>
      </c>
      <c r="D33" s="230"/>
      <c r="E33" s="230"/>
      <c r="F33" s="230"/>
      <c r="G33" s="230"/>
      <c r="H33" s="230">
        <v>39</v>
      </c>
      <c r="I33" s="230"/>
      <c r="J33" s="230"/>
      <c r="K33" s="230"/>
      <c r="L33" s="230">
        <v>39</v>
      </c>
      <c r="M33" s="230"/>
      <c r="N33" s="230"/>
      <c r="O33" s="230"/>
      <c r="P33" s="230"/>
      <c r="Q33" s="230">
        <v>1</v>
      </c>
      <c r="R33" s="230">
        <v>39</v>
      </c>
      <c r="S33" s="222">
        <f t="shared" si="1"/>
        <v>4.26</v>
      </c>
      <c r="T33" s="222">
        <f t="shared" si="2"/>
        <v>5.3</v>
      </c>
      <c r="U33" s="231">
        <v>4.26</v>
      </c>
      <c r="V33" s="231">
        <v>5.3</v>
      </c>
      <c r="W33" s="221" t="str">
        <f t="shared" si="3"/>
        <v>50.8*43.18*12.7</v>
      </c>
      <c r="X33" s="223">
        <v>20</v>
      </c>
      <c r="Y33" s="223">
        <v>17</v>
      </c>
      <c r="Z33" s="223">
        <v>5</v>
      </c>
      <c r="AA33" s="214">
        <f t="shared" si="4"/>
        <v>50.8</v>
      </c>
      <c r="AB33" s="214">
        <f t="shared" si="0"/>
        <v>43.18</v>
      </c>
      <c r="AC33" s="214">
        <f t="shared" si="0"/>
        <v>12.7</v>
      </c>
    </row>
    <row r="34" spans="1:29">
      <c r="A34" s="230">
        <v>22</v>
      </c>
      <c r="B34" s="230"/>
      <c r="C34" s="230">
        <v>22</v>
      </c>
      <c r="D34" s="230"/>
      <c r="E34" s="230"/>
      <c r="F34" s="230"/>
      <c r="G34" s="230"/>
      <c r="H34" s="230">
        <v>36</v>
      </c>
      <c r="I34" s="230"/>
      <c r="J34" s="230"/>
      <c r="K34" s="230"/>
      <c r="L34" s="230"/>
      <c r="M34" s="230">
        <v>36</v>
      </c>
      <c r="N34" s="230"/>
      <c r="O34" s="230"/>
      <c r="P34" s="230"/>
      <c r="Q34" s="230">
        <v>1</v>
      </c>
      <c r="R34" s="230">
        <v>36</v>
      </c>
      <c r="S34" s="222">
        <f t="shared" si="1"/>
        <v>4.25</v>
      </c>
      <c r="T34" s="222">
        <f t="shared" si="2"/>
        <v>5.28</v>
      </c>
      <c r="U34" s="231">
        <v>4.25</v>
      </c>
      <c r="V34" s="231">
        <v>5.28</v>
      </c>
      <c r="W34" s="221" t="str">
        <f t="shared" si="3"/>
        <v>50.8*43.18*12.7</v>
      </c>
      <c r="X34" s="223">
        <v>20</v>
      </c>
      <c r="Y34" s="223">
        <v>17</v>
      </c>
      <c r="Z34" s="223">
        <v>5</v>
      </c>
      <c r="AA34" s="214">
        <f t="shared" si="4"/>
        <v>50.8</v>
      </c>
      <c r="AB34" s="214">
        <f t="shared" si="0"/>
        <v>43.18</v>
      </c>
      <c r="AC34" s="214">
        <f t="shared" si="0"/>
        <v>12.7</v>
      </c>
    </row>
    <row r="35" spans="1:29">
      <c r="A35" s="230">
        <v>23</v>
      </c>
      <c r="B35" s="230"/>
      <c r="C35" s="230">
        <v>23</v>
      </c>
      <c r="D35" s="230" t="s">
        <v>189</v>
      </c>
      <c r="E35" s="230"/>
      <c r="F35" s="230"/>
      <c r="G35" s="230"/>
      <c r="H35" s="230">
        <v>14</v>
      </c>
      <c r="I35" s="230"/>
      <c r="J35" s="230">
        <v>14</v>
      </c>
      <c r="K35" s="230"/>
      <c r="L35" s="230"/>
      <c r="M35" s="230"/>
      <c r="N35" s="230"/>
      <c r="O35" s="230"/>
      <c r="P35" s="230"/>
      <c r="Q35" s="230">
        <v>1</v>
      </c>
      <c r="R35" s="230">
        <v>14</v>
      </c>
      <c r="S35" s="222">
        <f t="shared" si="1"/>
        <v>1.29</v>
      </c>
      <c r="T35" s="222">
        <f t="shared" si="2"/>
        <v>2.19</v>
      </c>
      <c r="U35" s="231">
        <v>1.29</v>
      </c>
      <c r="V35" s="231">
        <v>2.19</v>
      </c>
      <c r="W35" s="221" t="str">
        <f t="shared" si="3"/>
        <v>44.45*25.4*7.62</v>
      </c>
      <c r="X35" s="223">
        <v>17.5</v>
      </c>
      <c r="Y35" s="223">
        <v>10</v>
      </c>
      <c r="Z35" s="223">
        <v>3</v>
      </c>
      <c r="AA35" s="214">
        <f t="shared" si="4"/>
        <v>44.45</v>
      </c>
      <c r="AB35" s="214">
        <f t="shared" si="4"/>
        <v>25.4</v>
      </c>
      <c r="AC35" s="214">
        <f t="shared" si="4"/>
        <v>7.62</v>
      </c>
    </row>
    <row r="36" spans="1:29">
      <c r="A36" s="230">
        <v>24</v>
      </c>
      <c r="B36" s="230"/>
      <c r="C36" s="230">
        <v>24</v>
      </c>
      <c r="D36" s="230" t="s">
        <v>189</v>
      </c>
      <c r="E36" s="230"/>
      <c r="F36" s="230"/>
      <c r="G36" s="230"/>
      <c r="H36" s="230">
        <v>14</v>
      </c>
      <c r="I36" s="230"/>
      <c r="J36" s="230"/>
      <c r="K36" s="230"/>
      <c r="L36" s="230"/>
      <c r="M36" s="230">
        <v>14</v>
      </c>
      <c r="N36" s="230"/>
      <c r="O36" s="230"/>
      <c r="P36" s="230"/>
      <c r="Q36" s="230">
        <v>1</v>
      </c>
      <c r="R36" s="230">
        <v>14</v>
      </c>
      <c r="S36" s="222">
        <f t="shared" si="1"/>
        <v>1.65</v>
      </c>
      <c r="T36" s="222">
        <f t="shared" si="2"/>
        <v>2.5099999999999998</v>
      </c>
      <c r="U36" s="231">
        <v>1.65</v>
      </c>
      <c r="V36" s="231">
        <v>2.5099999999999998</v>
      </c>
      <c r="W36" s="221" t="str">
        <f t="shared" si="3"/>
        <v>44.45*25.4*7.62</v>
      </c>
      <c r="X36" s="223">
        <v>17.5</v>
      </c>
      <c r="Y36" s="223">
        <v>10</v>
      </c>
      <c r="Z36" s="223">
        <v>3</v>
      </c>
      <c r="AA36" s="214">
        <f t="shared" si="4"/>
        <v>44.45</v>
      </c>
      <c r="AB36" s="214">
        <f t="shared" si="4"/>
        <v>25.4</v>
      </c>
      <c r="AC36" s="214">
        <f t="shared" si="4"/>
        <v>7.62</v>
      </c>
    </row>
    <row r="37" spans="1:29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>
        <v>50</v>
      </c>
      <c r="N37" s="230"/>
      <c r="O37" s="230"/>
      <c r="P37" s="230"/>
      <c r="Q37" s="230"/>
      <c r="R37" s="230"/>
      <c r="S37" s="222"/>
      <c r="T37" s="222"/>
      <c r="U37" s="231"/>
      <c r="V37" s="231"/>
      <c r="W37" s="230"/>
      <c r="X37" s="223"/>
      <c r="Y37" s="223"/>
      <c r="Z37" s="223"/>
    </row>
    <row r="38" spans="1:29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22"/>
      <c r="T38" s="222"/>
      <c r="U38" s="231"/>
      <c r="V38" s="231"/>
      <c r="W38" s="230"/>
    </row>
    <row r="39" spans="1:29" s="216" customFormat="1" ht="14.25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>
        <f>SUM(M19:M38)</f>
        <v>264</v>
      </c>
      <c r="N39" s="232">
        <f>SUM(N19:N38)</f>
        <v>0</v>
      </c>
      <c r="O39" s="232">
        <f>SUM(O19:O38)</f>
        <v>0</v>
      </c>
      <c r="P39" s="232">
        <f>SUM(P19:P38)</f>
        <v>0</v>
      </c>
      <c r="Q39" s="232">
        <f>SUM(Q19:Q38)</f>
        <v>24</v>
      </c>
      <c r="R39" s="232">
        <f>SUM(R19:R38)</f>
        <v>750</v>
      </c>
      <c r="S39" s="232"/>
      <c r="T39" s="305"/>
      <c r="U39" s="232">
        <f>SUM(U19:U38)</f>
        <v>78.860000000000014</v>
      </c>
      <c r="V39" s="305">
        <f>SUM(V19:V38)</f>
        <v>101.64999999999999</v>
      </c>
      <c r="W39" s="232"/>
    </row>
    <row r="40" spans="1:29" s="216" customFormat="1" ht="14.25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</row>
    <row r="41" spans="1:29">
      <c r="A41" s="223"/>
      <c r="B41" s="223"/>
      <c r="C41" s="223"/>
      <c r="D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4"/>
      <c r="T41" s="224"/>
      <c r="U41" s="224"/>
      <c r="V41" s="224"/>
      <c r="W41" s="215"/>
    </row>
    <row r="42" spans="1:29">
      <c r="D42" s="234" t="s">
        <v>191</v>
      </c>
      <c r="E42" s="234" t="s">
        <v>181</v>
      </c>
      <c r="F42" s="234" t="s">
        <v>192</v>
      </c>
      <c r="G42" s="234" t="s">
        <v>193</v>
      </c>
      <c r="H42" s="234" t="s">
        <v>59</v>
      </c>
      <c r="I42" s="234" t="s">
        <v>27</v>
      </c>
      <c r="J42" s="234" t="s">
        <v>28</v>
      </c>
      <c r="K42" s="234" t="s">
        <v>29</v>
      </c>
      <c r="L42" s="234" t="s">
        <v>30</v>
      </c>
      <c r="M42" s="234"/>
      <c r="N42" s="234"/>
      <c r="O42" s="234"/>
      <c r="P42" s="234"/>
      <c r="Q42" s="219" t="s">
        <v>31</v>
      </c>
      <c r="R42" s="219" t="s">
        <v>32</v>
      </c>
    </row>
    <row r="43" spans="1:29">
      <c r="D43" s="235" t="s">
        <v>208</v>
      </c>
      <c r="E43" s="235" t="s">
        <v>222</v>
      </c>
      <c r="F43" s="235" t="s">
        <v>220</v>
      </c>
      <c r="G43" s="235" t="s">
        <v>232</v>
      </c>
      <c r="H43" s="230"/>
      <c r="I43" s="230">
        <v>100</v>
      </c>
      <c r="J43" s="230">
        <v>150</v>
      </c>
      <c r="K43" s="230">
        <v>150</v>
      </c>
      <c r="L43" s="230">
        <v>100</v>
      </c>
      <c r="M43" s="234"/>
      <c r="N43" s="234"/>
      <c r="O43" s="234"/>
      <c r="P43" s="234"/>
      <c r="Q43" s="235">
        <v>16</v>
      </c>
      <c r="R43" s="235">
        <v>500</v>
      </c>
      <c r="X43" s="214">
        <f>+SUM(H43:L43)</f>
        <v>500</v>
      </c>
      <c r="Y43" s="214">
        <f>+R43-X43</f>
        <v>0</v>
      </c>
    </row>
    <row r="44" spans="1:29">
      <c r="D44" s="235" t="s">
        <v>208</v>
      </c>
      <c r="E44" s="235" t="s">
        <v>222</v>
      </c>
      <c r="F44" s="235" t="s">
        <v>223</v>
      </c>
      <c r="G44" s="235" t="s">
        <v>258</v>
      </c>
      <c r="H44" s="230"/>
      <c r="I44" s="230">
        <v>50</v>
      </c>
      <c r="J44" s="230">
        <v>75</v>
      </c>
      <c r="K44" s="230">
        <v>75</v>
      </c>
      <c r="L44" s="230">
        <v>50</v>
      </c>
      <c r="M44" s="234"/>
      <c r="N44" s="234"/>
      <c r="O44" s="234"/>
      <c r="P44" s="234"/>
      <c r="Q44" s="235">
        <v>8</v>
      </c>
      <c r="R44" s="235">
        <v>250</v>
      </c>
      <c r="X44" s="214">
        <f>+SUM(H44:L44)</f>
        <v>250</v>
      </c>
      <c r="Y44" s="214">
        <f>+R44-X44</f>
        <v>0</v>
      </c>
    </row>
    <row r="45" spans="1:29"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</row>
    <row r="46" spans="1:29">
      <c r="D46" s="215"/>
      <c r="E46" s="215"/>
      <c r="F46" s="215"/>
      <c r="G46" s="215"/>
      <c r="H46" s="215"/>
      <c r="I46" s="215"/>
      <c r="J46" s="215"/>
      <c r="K46" s="218" t="s">
        <v>33</v>
      </c>
      <c r="L46" s="215"/>
      <c r="M46" s="218"/>
      <c r="N46" s="218"/>
      <c r="O46" s="218"/>
      <c r="P46" s="218"/>
      <c r="Q46" s="218">
        <f>SUM(Q43:Q44)</f>
        <v>24</v>
      </c>
      <c r="R46" s="218">
        <f>SUM(R43:R44)</f>
        <v>750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  <row r="68" s="214" customFormat="1"/>
    <row r="69" s="214" customFormat="1"/>
    <row r="70" s="214" customFormat="1"/>
    <row r="71" s="214" customFormat="1"/>
    <row r="72" s="214" customFormat="1"/>
    <row r="73" s="214" customFormat="1"/>
    <row r="74" s="214" customFormat="1"/>
    <row r="75" s="214" customFormat="1"/>
    <row r="76" s="214" customFormat="1"/>
    <row r="77" s="214" customFormat="1"/>
    <row r="78" s="214" customFormat="1"/>
    <row r="79" s="214" customFormat="1"/>
    <row r="80" s="214" customFormat="1"/>
    <row r="81" s="214" customFormat="1"/>
    <row r="82" s="214" customFormat="1"/>
    <row r="83" s="214" customFormat="1"/>
  </sheetData>
  <autoFilter ref="A18:ID18" xr:uid="{00000000-0009-0000-0000-000005000000}">
    <filterColumn colId="0" showButton="0"/>
    <filterColumn colId="1" showButton="0"/>
  </autoFilter>
  <mergeCells count="6">
    <mergeCell ref="A4:T4"/>
    <mergeCell ref="BT6:CH6"/>
    <mergeCell ref="A12:C12"/>
    <mergeCell ref="A14:C14"/>
    <mergeCell ref="A16:C16"/>
    <mergeCell ref="A18:C18"/>
  </mergeCells>
  <pageMargins left="0.24791666700000001" right="0.24791666700000001" top="0.98402777777777795" bottom="0.98402777777777795" header="0.51180555555555496" footer="0.51180555555555496"/>
  <pageSetup scale="56" fitToHeight="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0BA1-AEF7-41A4-A88A-063DF483DC29}">
  <sheetPr>
    <pageSetUpPr fitToPage="1"/>
  </sheetPr>
  <dimension ref="A1:CH83"/>
  <sheetViews>
    <sheetView view="pageBreakPreview" topLeftCell="A12" zoomScale="85" zoomScaleNormal="70" zoomScaleSheetLayoutView="85" workbookViewId="0">
      <selection activeCell="F25" sqref="F25"/>
    </sheetView>
  </sheetViews>
  <sheetFormatPr defaultColWidth="11.25" defaultRowHeight="15"/>
  <cols>
    <col min="1" max="1" width="11.25" style="214"/>
    <col min="2" max="2" width="5.75" style="214" customWidth="1"/>
    <col min="3" max="3" width="7.625" style="214" customWidth="1"/>
    <col min="4" max="4" width="14.375" style="214" customWidth="1"/>
    <col min="5" max="5" width="10.25" style="214" customWidth="1"/>
    <col min="6" max="6" width="20.25" style="214" bestFit="1" customWidth="1"/>
    <col min="7" max="7" width="11" style="214" customWidth="1"/>
    <col min="8" max="8" width="9.25" style="214" customWidth="1"/>
    <col min="9" max="10" width="5.75" style="214" customWidth="1"/>
    <col min="11" max="11" width="6.75" style="214" customWidth="1"/>
    <col min="12" max="12" width="7.625" style="214" customWidth="1"/>
    <col min="13" max="16" width="7.25" style="214" hidden="1" customWidth="1"/>
    <col min="17" max="18" width="11.25" style="214"/>
    <col min="19" max="19" width="15" style="214" bestFit="1" customWidth="1"/>
    <col min="20" max="20" width="13.75" style="214" bestFit="1" customWidth="1"/>
    <col min="21" max="21" width="14.125" style="214" bestFit="1" customWidth="1"/>
    <col min="22" max="22" width="15" style="214" bestFit="1" customWidth="1"/>
    <col min="23" max="23" width="20.875" style="214" customWidth="1"/>
    <col min="24" max="24" width="11.25" style="214"/>
    <col min="25" max="28" width="11.25" style="214" customWidth="1"/>
    <col min="29" max="16384" width="11.25" style="214"/>
  </cols>
  <sheetData>
    <row r="1" spans="1:86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3" spans="1:86">
      <c r="A3" s="215"/>
      <c r="B3" s="215"/>
      <c r="C3" s="215"/>
      <c r="D3" s="215"/>
      <c r="E3" s="215"/>
      <c r="F3" s="215"/>
      <c r="G3" s="215"/>
      <c r="H3" s="215"/>
      <c r="M3" s="215"/>
      <c r="N3" s="215"/>
      <c r="O3" s="215"/>
      <c r="P3" s="215"/>
    </row>
    <row r="4" spans="1:86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</row>
    <row r="5" spans="1:86">
      <c r="H5" s="214" t="s">
        <v>43</v>
      </c>
    </row>
    <row r="6" spans="1:86">
      <c r="A6" s="216" t="s">
        <v>168</v>
      </c>
      <c r="B6" s="216"/>
      <c r="C6" s="216"/>
      <c r="E6" s="214" t="str">
        <f>+'[1]INVOICE 11'!C7</f>
        <v>SUPREME INTERNATIONAL, LLC</v>
      </c>
      <c r="G6" s="217"/>
      <c r="H6" s="214" t="s">
        <v>169</v>
      </c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</row>
    <row r="7" spans="1:86">
      <c r="A7" s="216"/>
      <c r="B7" s="216"/>
      <c r="C7" s="216"/>
      <c r="F7" s="217"/>
      <c r="G7" s="217"/>
      <c r="H7" s="214" t="s">
        <v>170</v>
      </c>
    </row>
    <row r="8" spans="1:86">
      <c r="A8" s="216"/>
      <c r="B8" s="216"/>
      <c r="C8" s="216"/>
      <c r="D8" s="225"/>
      <c r="E8" s="225"/>
      <c r="F8" s="225"/>
      <c r="G8" s="225"/>
      <c r="H8" s="214" t="s">
        <v>45</v>
      </c>
    </row>
    <row r="9" spans="1:86">
      <c r="A9" s="216"/>
      <c r="B9" s="216"/>
      <c r="C9" s="216"/>
      <c r="H9" s="214" t="s">
        <v>171</v>
      </c>
    </row>
    <row r="10" spans="1:86">
      <c r="A10" s="216"/>
      <c r="B10" s="216"/>
      <c r="C10" s="216"/>
      <c r="H10" s="214" t="s">
        <v>172</v>
      </c>
    </row>
    <row r="11" spans="1:86">
      <c r="A11" s="216"/>
      <c r="B11" s="216"/>
      <c r="C11" s="216"/>
    </row>
    <row r="12" spans="1:86">
      <c r="A12" s="291" t="s">
        <v>173</v>
      </c>
      <c r="B12" s="291"/>
      <c r="C12" s="291"/>
      <c r="H12" s="214" t="s">
        <v>174</v>
      </c>
    </row>
    <row r="13" spans="1:86">
      <c r="A13" s="216" t="s">
        <v>175</v>
      </c>
      <c r="B13" s="216" t="s">
        <v>209</v>
      </c>
      <c r="C13" s="216"/>
      <c r="H13" s="214" t="s">
        <v>176</v>
      </c>
    </row>
    <row r="14" spans="1:86">
      <c r="A14" s="291" t="s">
        <v>177</v>
      </c>
      <c r="B14" s="291"/>
      <c r="C14" s="291"/>
      <c r="E14" s="214" t="str">
        <f>+B13</f>
        <v>EQ349</v>
      </c>
    </row>
    <row r="15" spans="1:86">
      <c r="A15" s="216" t="s">
        <v>178</v>
      </c>
      <c r="B15" s="216"/>
      <c r="C15" s="216"/>
      <c r="D15" s="214">
        <f>+'INVOICE 94'!M2</f>
        <v>7726477</v>
      </c>
      <c r="E15" s="216"/>
      <c r="S15" s="218"/>
      <c r="T15" s="218"/>
    </row>
    <row r="16" spans="1:86">
      <c r="A16" s="291" t="s">
        <v>179</v>
      </c>
      <c r="B16" s="291"/>
      <c r="C16" s="291"/>
    </row>
    <row r="18" spans="1:29">
      <c r="A18" s="292" t="s">
        <v>180</v>
      </c>
      <c r="B18" s="292"/>
      <c r="C18" s="292"/>
      <c r="D18" s="219" t="s">
        <v>182</v>
      </c>
      <c r="E18" s="219" t="s">
        <v>181</v>
      </c>
      <c r="F18" s="219" t="s">
        <v>183</v>
      </c>
      <c r="G18" s="219" t="s">
        <v>184</v>
      </c>
      <c r="H18" s="219" t="s">
        <v>26</v>
      </c>
      <c r="I18" s="219" t="s">
        <v>59</v>
      </c>
      <c r="J18" s="219" t="s">
        <v>27</v>
      </c>
      <c r="K18" s="219" t="s">
        <v>28</v>
      </c>
      <c r="L18" s="219" t="s">
        <v>29</v>
      </c>
      <c r="M18" s="219">
        <v>4</v>
      </c>
      <c r="N18" s="219">
        <v>5</v>
      </c>
      <c r="O18" s="219">
        <v>6</v>
      </c>
      <c r="P18" s="219" t="s">
        <v>165</v>
      </c>
      <c r="Q18" s="219" t="s">
        <v>31</v>
      </c>
      <c r="R18" s="219" t="s">
        <v>32</v>
      </c>
      <c r="S18" s="219" t="s">
        <v>185</v>
      </c>
      <c r="T18" s="219" t="s">
        <v>186</v>
      </c>
      <c r="U18" s="220" t="s">
        <v>188</v>
      </c>
      <c r="V18" s="219" t="s">
        <v>187</v>
      </c>
      <c r="W18" s="220" t="s">
        <v>203</v>
      </c>
    </row>
    <row r="19" spans="1:29">
      <c r="A19" s="221">
        <v>1</v>
      </c>
      <c r="B19" s="221"/>
      <c r="C19" s="221">
        <v>1</v>
      </c>
      <c r="D19" s="221"/>
      <c r="E19" s="221" t="s">
        <v>222</v>
      </c>
      <c r="F19" s="221" t="s">
        <v>261</v>
      </c>
      <c r="G19" s="221" t="s">
        <v>262</v>
      </c>
      <c r="H19" s="221">
        <v>16</v>
      </c>
      <c r="I19" s="221"/>
      <c r="J19" s="221">
        <v>16</v>
      </c>
      <c r="K19" s="221"/>
      <c r="L19" s="221"/>
      <c r="M19" s="221"/>
      <c r="N19" s="221"/>
      <c r="O19" s="221"/>
      <c r="P19" s="221"/>
      <c r="Q19" s="221">
        <v>1</v>
      </c>
      <c r="R19" s="221">
        <v>16</v>
      </c>
      <c r="S19" s="222">
        <f>+U19/Q19</f>
        <v>1.61</v>
      </c>
      <c r="T19" s="222">
        <f>+V19/Q19</f>
        <v>2.54</v>
      </c>
      <c r="U19" s="222">
        <v>1.61</v>
      </c>
      <c r="V19" s="222">
        <v>2.54</v>
      </c>
      <c r="W19" s="221" t="str">
        <f>AA19&amp;"*"&amp;AB19&amp;"*"&amp;AC19</f>
        <v>50.8*43.18*7.62</v>
      </c>
      <c r="X19" s="223">
        <v>20</v>
      </c>
      <c r="Y19" s="223">
        <v>17</v>
      </c>
      <c r="Z19" s="223">
        <v>3</v>
      </c>
      <c r="AA19" s="214">
        <f>+X19*2.54</f>
        <v>50.8</v>
      </c>
      <c r="AB19" s="214">
        <f t="shared" ref="AB19:AC23" si="0">+Y19*2.54</f>
        <v>43.18</v>
      </c>
      <c r="AC19" s="214">
        <f t="shared" si="0"/>
        <v>7.62</v>
      </c>
    </row>
    <row r="20" spans="1:29">
      <c r="A20" s="221">
        <v>2</v>
      </c>
      <c r="B20" s="221"/>
      <c r="C20" s="221">
        <v>2</v>
      </c>
      <c r="D20" s="221"/>
      <c r="E20" s="221"/>
      <c r="F20" s="221"/>
      <c r="G20" s="221"/>
      <c r="H20" s="221">
        <v>16</v>
      </c>
      <c r="I20" s="221"/>
      <c r="J20" s="221"/>
      <c r="K20" s="221">
        <v>16</v>
      </c>
      <c r="L20" s="221"/>
      <c r="M20" s="221"/>
      <c r="N20" s="221"/>
      <c r="O20" s="221"/>
      <c r="P20" s="221"/>
      <c r="Q20" s="221">
        <v>1</v>
      </c>
      <c r="R20" s="221">
        <v>16</v>
      </c>
      <c r="S20" s="222">
        <f t="shared" ref="S20:S23" si="1">+U20/Q20</f>
        <v>1.74</v>
      </c>
      <c r="T20" s="222">
        <f t="shared" ref="T20:T23" si="2">+V20/Q20</f>
        <v>2.63</v>
      </c>
      <c r="U20" s="222">
        <v>1.74</v>
      </c>
      <c r="V20" s="222">
        <v>2.63</v>
      </c>
      <c r="W20" s="221" t="str">
        <f t="shared" ref="W20:W23" si="3">AA20&amp;"*"&amp;AB20&amp;"*"&amp;AC20</f>
        <v>50.8*43.18*7.62</v>
      </c>
      <c r="X20" s="223">
        <v>20</v>
      </c>
      <c r="Y20" s="223">
        <v>17</v>
      </c>
      <c r="Z20" s="223">
        <v>3</v>
      </c>
      <c r="AA20" s="214">
        <f t="shared" ref="AA20:AA23" si="4">+X20*2.54</f>
        <v>50.8</v>
      </c>
      <c r="AB20" s="214">
        <f t="shared" si="0"/>
        <v>43.18</v>
      </c>
      <c r="AC20" s="214">
        <f t="shared" si="0"/>
        <v>7.62</v>
      </c>
    </row>
    <row r="21" spans="1:29">
      <c r="A21" s="230" t="s">
        <v>260</v>
      </c>
      <c r="B21" s="230"/>
      <c r="C21" s="230"/>
      <c r="D21" s="230" t="s">
        <v>198</v>
      </c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22"/>
      <c r="T21" s="222"/>
      <c r="U21" s="231"/>
      <c r="V21" s="231"/>
      <c r="W21" s="221" t="str">
        <f t="shared" si="3"/>
        <v>48.26*27.94*11.43</v>
      </c>
      <c r="X21" s="223">
        <v>19</v>
      </c>
      <c r="Y21" s="223">
        <v>11</v>
      </c>
      <c r="Z21" s="223">
        <v>4.5</v>
      </c>
      <c r="AA21" s="214">
        <f t="shared" si="4"/>
        <v>48.26</v>
      </c>
      <c r="AB21" s="214">
        <f t="shared" si="0"/>
        <v>27.94</v>
      </c>
      <c r="AC21" s="214">
        <f t="shared" si="0"/>
        <v>11.43</v>
      </c>
    </row>
    <row r="22" spans="1:29">
      <c r="A22" s="230">
        <v>3</v>
      </c>
      <c r="B22" s="230"/>
      <c r="C22" s="230">
        <v>3</v>
      </c>
      <c r="D22" s="230" t="s">
        <v>190</v>
      </c>
      <c r="E22" s="230"/>
      <c r="F22" s="230"/>
      <c r="G22" s="230"/>
      <c r="H22" s="230">
        <v>8</v>
      </c>
      <c r="I22" s="230">
        <v>8</v>
      </c>
      <c r="J22" s="230"/>
      <c r="K22" s="230"/>
      <c r="L22" s="230"/>
      <c r="M22" s="230">
        <v>36</v>
      </c>
      <c r="N22" s="230"/>
      <c r="O22" s="230"/>
      <c r="P22" s="230"/>
      <c r="Q22" s="230">
        <v>1</v>
      </c>
      <c r="R22" s="230">
        <v>8</v>
      </c>
      <c r="S22" s="222">
        <f t="shared" si="1"/>
        <v>1.1399999999999999</v>
      </c>
      <c r="T22" s="222">
        <f t="shared" si="2"/>
        <v>2.09</v>
      </c>
      <c r="U22" s="231">
        <v>1.1399999999999999</v>
      </c>
      <c r="V22" s="231">
        <v>2.09</v>
      </c>
      <c r="W22" s="221" t="str">
        <f t="shared" si="3"/>
        <v>25.4*22.86*8.89</v>
      </c>
      <c r="X22" s="223">
        <v>10</v>
      </c>
      <c r="Y22" s="223">
        <v>9</v>
      </c>
      <c r="Z22" s="223">
        <v>3.5</v>
      </c>
      <c r="AA22" s="214">
        <f t="shared" si="4"/>
        <v>25.4</v>
      </c>
      <c r="AB22" s="214">
        <f t="shared" si="0"/>
        <v>22.86</v>
      </c>
      <c r="AC22" s="214">
        <f t="shared" si="0"/>
        <v>8.89</v>
      </c>
    </row>
    <row r="23" spans="1:29">
      <c r="A23" s="230">
        <v>4</v>
      </c>
      <c r="B23" s="230"/>
      <c r="C23" s="230">
        <v>4</v>
      </c>
      <c r="D23" s="230" t="s">
        <v>190</v>
      </c>
      <c r="E23" s="230"/>
      <c r="F23" s="230"/>
      <c r="G23" s="230"/>
      <c r="H23" s="230">
        <v>8</v>
      </c>
      <c r="I23" s="230"/>
      <c r="J23" s="230"/>
      <c r="K23" s="230"/>
      <c r="L23" s="230">
        <v>8</v>
      </c>
      <c r="M23" s="230"/>
      <c r="N23" s="230"/>
      <c r="O23" s="230"/>
      <c r="P23" s="230"/>
      <c r="Q23" s="230"/>
      <c r="R23" s="230">
        <v>8</v>
      </c>
      <c r="S23" s="222"/>
      <c r="T23" s="222"/>
      <c r="U23" s="231"/>
      <c r="V23" s="231"/>
      <c r="W23" s="221" t="str">
        <f t="shared" si="3"/>
        <v>25.4*22.86*8.89</v>
      </c>
      <c r="X23" s="223">
        <v>10</v>
      </c>
      <c r="Y23" s="223">
        <v>9</v>
      </c>
      <c r="Z23" s="223">
        <v>3.5</v>
      </c>
      <c r="AA23" s="214">
        <f t="shared" si="4"/>
        <v>25.4</v>
      </c>
      <c r="AB23" s="214">
        <f t="shared" si="0"/>
        <v>22.86</v>
      </c>
      <c r="AC23" s="214">
        <f t="shared" si="0"/>
        <v>8.89</v>
      </c>
    </row>
    <row r="24" spans="1:29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>
        <v>50</v>
      </c>
      <c r="N24" s="230"/>
      <c r="O24" s="230"/>
      <c r="P24" s="230"/>
      <c r="Q24" s="230"/>
      <c r="R24" s="230"/>
      <c r="S24" s="222"/>
      <c r="T24" s="222"/>
      <c r="U24" s="231"/>
      <c r="V24" s="231"/>
      <c r="W24" s="230"/>
      <c r="X24" s="223"/>
      <c r="Y24" s="223"/>
      <c r="Z24" s="223"/>
    </row>
    <row r="25" spans="1:29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22"/>
      <c r="T25" s="222"/>
      <c r="U25" s="231"/>
      <c r="V25" s="231"/>
      <c r="W25" s="230"/>
    </row>
    <row r="26" spans="1:29" s="216" customFormat="1" ht="14.25">
      <c r="A26" s="232"/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>
        <f>SUM(M19:M25)</f>
        <v>86</v>
      </c>
      <c r="N26" s="232">
        <f>SUM(N19:N25)</f>
        <v>0</v>
      </c>
      <c r="O26" s="232">
        <f>SUM(O19:O25)</f>
        <v>0</v>
      </c>
      <c r="P26" s="232">
        <f>SUM(P19:P25)</f>
        <v>0</v>
      </c>
      <c r="Q26" s="232">
        <f>SUM(Q19:Q25)</f>
        <v>3</v>
      </c>
      <c r="R26" s="232">
        <f>SUM(R19:R25)</f>
        <v>48</v>
      </c>
      <c r="S26" s="232"/>
      <c r="T26" s="305"/>
      <c r="U26" s="232">
        <f>SUM(U19:U25)</f>
        <v>4.49</v>
      </c>
      <c r="V26" s="305">
        <f>SUM(V19:V25)</f>
        <v>7.26</v>
      </c>
      <c r="W26" s="232"/>
    </row>
    <row r="27" spans="1:29" s="216" customFormat="1" ht="14.25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</row>
    <row r="28" spans="1:29">
      <c r="A28" s="223"/>
      <c r="B28" s="223"/>
      <c r="C28" s="223"/>
      <c r="D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4"/>
      <c r="T28" s="224"/>
      <c r="U28" s="224"/>
      <c r="V28" s="224"/>
      <c r="W28" s="215"/>
    </row>
    <row r="29" spans="1:29">
      <c r="D29" s="234" t="s">
        <v>191</v>
      </c>
      <c r="E29" s="234" t="s">
        <v>181</v>
      </c>
      <c r="F29" s="234" t="s">
        <v>192</v>
      </c>
      <c r="G29" s="234" t="s">
        <v>193</v>
      </c>
      <c r="H29" s="234" t="s">
        <v>59</v>
      </c>
      <c r="I29" s="234" t="s">
        <v>27</v>
      </c>
      <c r="J29" s="234" t="s">
        <v>28</v>
      </c>
      <c r="K29" s="234" t="s">
        <v>29</v>
      </c>
      <c r="L29" s="234" t="s">
        <v>30</v>
      </c>
      <c r="M29" s="234"/>
      <c r="N29" s="234"/>
      <c r="O29" s="234"/>
      <c r="P29" s="234"/>
      <c r="Q29" s="219" t="s">
        <v>31</v>
      </c>
      <c r="R29" s="219" t="s">
        <v>32</v>
      </c>
    </row>
    <row r="30" spans="1:29">
      <c r="D30" s="235" t="s">
        <v>209</v>
      </c>
      <c r="E30" s="235" t="s">
        <v>222</v>
      </c>
      <c r="F30" s="235" t="s">
        <v>224</v>
      </c>
      <c r="G30" s="235" t="s">
        <v>262</v>
      </c>
      <c r="H30" s="230">
        <v>8</v>
      </c>
      <c r="I30" s="230">
        <v>16</v>
      </c>
      <c r="J30" s="230">
        <v>16</v>
      </c>
      <c r="K30" s="230">
        <v>8</v>
      </c>
      <c r="L30" s="230"/>
      <c r="M30" s="234"/>
      <c r="N30" s="234"/>
      <c r="O30" s="234"/>
      <c r="P30" s="234"/>
      <c r="Q30" s="235">
        <v>3</v>
      </c>
      <c r="R30" s="235">
        <v>48</v>
      </c>
      <c r="X30" s="214">
        <f>+SUM(H30:L30)</f>
        <v>48</v>
      </c>
      <c r="Y30" s="214">
        <f>+R30-X30</f>
        <v>0</v>
      </c>
    </row>
    <row r="31" spans="1:29">
      <c r="D31" s="235"/>
      <c r="E31" s="235"/>
      <c r="F31" s="235"/>
      <c r="G31" s="235"/>
      <c r="H31" s="230"/>
      <c r="I31" s="230"/>
      <c r="J31" s="230"/>
      <c r="K31" s="230"/>
      <c r="L31" s="230"/>
      <c r="M31" s="234"/>
      <c r="N31" s="234"/>
      <c r="O31" s="234"/>
      <c r="P31" s="234"/>
      <c r="Q31" s="235"/>
      <c r="R31" s="235"/>
    </row>
    <row r="32" spans="1:29"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</row>
    <row r="33" spans="4:18">
      <c r="D33" s="215"/>
      <c r="E33" s="215"/>
      <c r="F33" s="215"/>
      <c r="G33" s="215"/>
      <c r="H33" s="215"/>
      <c r="I33" s="215"/>
      <c r="J33" s="215"/>
      <c r="K33" s="218" t="s">
        <v>33</v>
      </c>
      <c r="L33" s="215"/>
      <c r="M33" s="218"/>
      <c r="N33" s="218"/>
      <c r="O33" s="218"/>
      <c r="P33" s="218"/>
      <c r="Q33" s="218">
        <f>SUM(Q30:Q31)</f>
        <v>3</v>
      </c>
      <c r="R33" s="218">
        <f>SUM(R30:R31)</f>
        <v>48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  <row r="68" s="214" customFormat="1"/>
    <row r="69" s="214" customFormat="1"/>
    <row r="70" s="214" customFormat="1"/>
    <row r="71" s="214" customFormat="1"/>
    <row r="72" s="214" customFormat="1"/>
    <row r="73" s="214" customFormat="1"/>
    <row r="74" s="214" customFormat="1"/>
    <row r="75" s="214" customFormat="1"/>
    <row r="76" s="214" customFormat="1"/>
    <row r="77" s="214" customFormat="1"/>
    <row r="78" s="214" customFormat="1"/>
    <row r="79" s="214" customFormat="1"/>
    <row r="80" s="214" customFormat="1"/>
    <row r="81" s="214" customFormat="1"/>
    <row r="82" s="214" customFormat="1"/>
    <row r="83" s="214" customFormat="1"/>
  </sheetData>
  <autoFilter ref="A18:IU28" xr:uid="{00000000-0009-0000-0000-000004000000}">
    <filterColumn colId="0" showButton="0"/>
    <filterColumn colId="1" showButton="0"/>
  </autoFilter>
  <mergeCells count="6">
    <mergeCell ref="A4:T4"/>
    <mergeCell ref="BT6:CH6"/>
    <mergeCell ref="A12:C12"/>
    <mergeCell ref="A14:C14"/>
    <mergeCell ref="A16:C16"/>
    <mergeCell ref="A18:C18"/>
  </mergeCells>
  <pageMargins left="0.24791666700000001" right="0.24791666700000001" top="0.48402777800000002" bottom="0.48402777800000002" header="0.51180555555555496" footer="0.51180555555555496"/>
  <pageSetup scale="56" fitToHeight="3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905F-1974-4AC1-A6A7-825C7AAA9EFE}">
  <sheetPr>
    <pageSetUpPr fitToPage="1"/>
  </sheetPr>
  <dimension ref="A1:CH83"/>
  <sheetViews>
    <sheetView view="pageBreakPreview" topLeftCell="A9" zoomScale="70" zoomScaleNormal="70" zoomScaleSheetLayoutView="70" workbookViewId="0">
      <selection activeCell="F25" sqref="F25"/>
    </sheetView>
  </sheetViews>
  <sheetFormatPr defaultColWidth="11.25" defaultRowHeight="15"/>
  <cols>
    <col min="1" max="1" width="11.25" style="214"/>
    <col min="2" max="2" width="5.75" style="214" customWidth="1"/>
    <col min="3" max="3" width="7.625" style="214" customWidth="1"/>
    <col min="4" max="4" width="14.375" style="214" customWidth="1"/>
    <col min="5" max="5" width="10.25" style="214" customWidth="1"/>
    <col min="6" max="6" width="20.25" style="214" bestFit="1" customWidth="1"/>
    <col min="7" max="7" width="11" style="214" customWidth="1"/>
    <col min="8" max="8" width="9.25" style="214" customWidth="1"/>
    <col min="9" max="10" width="5.75" style="214" customWidth="1"/>
    <col min="11" max="11" width="6.75" style="214" customWidth="1"/>
    <col min="12" max="12" width="7.625" style="214" customWidth="1"/>
    <col min="13" max="16" width="7.25" style="214" hidden="1" customWidth="1"/>
    <col min="17" max="18" width="11.25" style="214"/>
    <col min="19" max="19" width="15" style="214" bestFit="1" customWidth="1"/>
    <col min="20" max="20" width="13.75" style="214" bestFit="1" customWidth="1"/>
    <col min="21" max="21" width="14.125" style="214" bestFit="1" customWidth="1"/>
    <col min="22" max="22" width="15" style="214" bestFit="1" customWidth="1"/>
    <col min="23" max="23" width="20.875" style="214" customWidth="1"/>
    <col min="24" max="16384" width="11.25" style="214"/>
  </cols>
  <sheetData>
    <row r="1" spans="1:86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3" spans="1:86">
      <c r="A3" s="215"/>
      <c r="B3" s="215"/>
      <c r="C3" s="215"/>
      <c r="D3" s="215"/>
      <c r="E3" s="215"/>
      <c r="F3" s="215"/>
      <c r="G3" s="215"/>
      <c r="H3" s="215"/>
      <c r="M3" s="215"/>
      <c r="N3" s="215"/>
      <c r="O3" s="215"/>
      <c r="P3" s="215"/>
    </row>
    <row r="4" spans="1:86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</row>
    <row r="5" spans="1:86">
      <c r="H5" s="214" t="s">
        <v>43</v>
      </c>
    </row>
    <row r="6" spans="1:86">
      <c r="A6" s="216" t="s">
        <v>168</v>
      </c>
      <c r="B6" s="216"/>
      <c r="C6" s="216"/>
      <c r="E6" s="214" t="str">
        <f>+'[1]INVOICE 11'!C7</f>
        <v>SUPREME INTERNATIONAL, LLC</v>
      </c>
      <c r="G6" s="217"/>
      <c r="H6" s="214" t="s">
        <v>169</v>
      </c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</row>
    <row r="7" spans="1:86">
      <c r="A7" s="216"/>
      <c r="B7" s="216"/>
      <c r="C7" s="216"/>
      <c r="F7" s="217"/>
      <c r="G7" s="217"/>
      <c r="H7" s="214" t="s">
        <v>170</v>
      </c>
    </row>
    <row r="8" spans="1:86">
      <c r="A8" s="216"/>
      <c r="B8" s="216"/>
      <c r="C8" s="216"/>
      <c r="D8" s="225"/>
      <c r="E8" s="225"/>
      <c r="F8" s="225"/>
      <c r="G8" s="225"/>
      <c r="H8" s="214" t="s">
        <v>45</v>
      </c>
    </row>
    <row r="9" spans="1:86">
      <c r="A9" s="216"/>
      <c r="B9" s="216"/>
      <c r="C9" s="216"/>
      <c r="H9" s="214" t="s">
        <v>171</v>
      </c>
    </row>
    <row r="10" spans="1:86">
      <c r="A10" s="216"/>
      <c r="B10" s="216"/>
      <c r="C10" s="216"/>
      <c r="H10" s="214" t="s">
        <v>172</v>
      </c>
    </row>
    <row r="11" spans="1:86">
      <c r="A11" s="216"/>
      <c r="B11" s="216"/>
      <c r="C11" s="216"/>
    </row>
    <row r="12" spans="1:86">
      <c r="A12" s="291" t="s">
        <v>173</v>
      </c>
      <c r="B12" s="291"/>
      <c r="C12" s="291"/>
      <c r="H12" s="214" t="s">
        <v>174</v>
      </c>
    </row>
    <row r="13" spans="1:86">
      <c r="A13" s="216" t="s">
        <v>175</v>
      </c>
      <c r="B13" s="216" t="s">
        <v>209</v>
      </c>
      <c r="C13" s="216"/>
      <c r="H13" s="214" t="s">
        <v>176</v>
      </c>
    </row>
    <row r="14" spans="1:86">
      <c r="A14" s="291" t="s">
        <v>177</v>
      </c>
      <c r="B14" s="291"/>
      <c r="C14" s="291"/>
      <c r="E14" s="214" t="str">
        <f>+B13</f>
        <v>EQ349</v>
      </c>
    </row>
    <row r="15" spans="1:86">
      <c r="A15" s="216" t="s">
        <v>178</v>
      </c>
      <c r="B15" s="216"/>
      <c r="C15" s="216"/>
      <c r="D15" s="214">
        <f>+'INVOICE 94'!M2</f>
        <v>7726477</v>
      </c>
      <c r="E15" s="216"/>
      <c r="S15" s="218"/>
      <c r="T15" s="218"/>
    </row>
    <row r="16" spans="1:86">
      <c r="A16" s="291" t="s">
        <v>179</v>
      </c>
      <c r="B16" s="291"/>
      <c r="C16" s="291"/>
    </row>
    <row r="18" spans="1:29">
      <c r="A18" s="292" t="s">
        <v>180</v>
      </c>
      <c r="B18" s="292"/>
      <c r="C18" s="292"/>
      <c r="D18" s="219" t="s">
        <v>182</v>
      </c>
      <c r="E18" s="219" t="s">
        <v>181</v>
      </c>
      <c r="F18" s="219" t="s">
        <v>183</v>
      </c>
      <c r="G18" s="219" t="s">
        <v>184</v>
      </c>
      <c r="H18" s="219" t="s">
        <v>26</v>
      </c>
      <c r="I18" s="219" t="s">
        <v>59</v>
      </c>
      <c r="J18" s="219" t="s">
        <v>27</v>
      </c>
      <c r="K18" s="219" t="s">
        <v>28</v>
      </c>
      <c r="L18" s="219" t="s">
        <v>29</v>
      </c>
      <c r="M18" s="219">
        <v>4</v>
      </c>
      <c r="N18" s="219">
        <v>5</v>
      </c>
      <c r="O18" s="219">
        <v>6</v>
      </c>
      <c r="P18" s="219" t="s">
        <v>165</v>
      </c>
      <c r="Q18" s="219" t="s">
        <v>31</v>
      </c>
      <c r="R18" s="219" t="s">
        <v>32</v>
      </c>
      <c r="S18" s="219" t="s">
        <v>185</v>
      </c>
      <c r="T18" s="219" t="s">
        <v>186</v>
      </c>
      <c r="U18" s="220" t="s">
        <v>188</v>
      </c>
      <c r="V18" s="219" t="s">
        <v>187</v>
      </c>
      <c r="W18" s="220" t="s">
        <v>203</v>
      </c>
    </row>
    <row r="19" spans="1:29">
      <c r="A19" s="221">
        <v>1</v>
      </c>
      <c r="B19" s="221"/>
      <c r="C19" s="221">
        <v>1</v>
      </c>
      <c r="D19" s="221"/>
      <c r="E19" s="221" t="s">
        <v>222</v>
      </c>
      <c r="F19" s="221" t="s">
        <v>261</v>
      </c>
      <c r="G19" s="221" t="s">
        <v>262</v>
      </c>
      <c r="H19" s="221">
        <v>16</v>
      </c>
      <c r="I19" s="221"/>
      <c r="J19" s="221">
        <v>16</v>
      </c>
      <c r="K19" s="221"/>
      <c r="L19" s="221"/>
      <c r="M19" s="221"/>
      <c r="N19" s="221"/>
      <c r="O19" s="221"/>
      <c r="P19" s="221"/>
      <c r="Q19" s="221">
        <v>1</v>
      </c>
      <c r="R19" s="221">
        <v>16</v>
      </c>
      <c r="S19" s="222">
        <f>+U19/Q19</f>
        <v>1.61</v>
      </c>
      <c r="T19" s="222">
        <f>+V19/Q19</f>
        <v>2.54</v>
      </c>
      <c r="U19" s="222">
        <v>1.61</v>
      </c>
      <c r="V19" s="222">
        <v>2.54</v>
      </c>
      <c r="W19" s="221" t="str">
        <f>AA19&amp;"*"&amp;AB19&amp;"*"&amp;AC19</f>
        <v>50.8*43.18*7.62</v>
      </c>
      <c r="X19" s="223">
        <v>20</v>
      </c>
      <c r="Y19" s="223">
        <v>17</v>
      </c>
      <c r="Z19" s="223">
        <v>3</v>
      </c>
      <c r="AA19" s="214">
        <f>+X19*2.54</f>
        <v>50.8</v>
      </c>
      <c r="AB19" s="214">
        <f t="shared" ref="AB19:AC23" si="0">+Y19*2.54</f>
        <v>43.18</v>
      </c>
      <c r="AC19" s="214">
        <f t="shared" si="0"/>
        <v>7.62</v>
      </c>
    </row>
    <row r="20" spans="1:29">
      <c r="A20" s="221">
        <v>2</v>
      </c>
      <c r="B20" s="221"/>
      <c r="C20" s="221">
        <v>2</v>
      </c>
      <c r="D20" s="221"/>
      <c r="E20" s="221"/>
      <c r="F20" s="221"/>
      <c r="G20" s="221"/>
      <c r="H20" s="221">
        <v>16</v>
      </c>
      <c r="I20" s="221"/>
      <c r="J20" s="221"/>
      <c r="K20" s="221">
        <v>16</v>
      </c>
      <c r="L20" s="221"/>
      <c r="M20" s="221"/>
      <c r="N20" s="221"/>
      <c r="O20" s="221"/>
      <c r="P20" s="221"/>
      <c r="Q20" s="221">
        <v>1</v>
      </c>
      <c r="R20" s="221">
        <v>16</v>
      </c>
      <c r="S20" s="222">
        <f t="shared" ref="S20:S23" si="1">+U20/Q20</f>
        <v>1.74</v>
      </c>
      <c r="T20" s="222">
        <f t="shared" ref="T20:T23" si="2">+V20/Q20</f>
        <v>2.63</v>
      </c>
      <c r="U20" s="222">
        <v>1.74</v>
      </c>
      <c r="V20" s="222">
        <v>2.63</v>
      </c>
      <c r="W20" s="221" t="str">
        <f t="shared" ref="W20:W23" si="3">AA20&amp;"*"&amp;AB20&amp;"*"&amp;AC20</f>
        <v>50.8*43.18*7.62</v>
      </c>
      <c r="X20" s="223">
        <v>20</v>
      </c>
      <c r="Y20" s="223">
        <v>17</v>
      </c>
      <c r="Z20" s="223">
        <v>3</v>
      </c>
      <c r="AA20" s="214">
        <f t="shared" ref="AA20:AA23" si="4">+X20*2.54</f>
        <v>50.8</v>
      </c>
      <c r="AB20" s="214">
        <f t="shared" si="0"/>
        <v>43.18</v>
      </c>
      <c r="AC20" s="214">
        <f t="shared" si="0"/>
        <v>7.62</v>
      </c>
    </row>
    <row r="21" spans="1:29">
      <c r="A21" s="230" t="s">
        <v>260</v>
      </c>
      <c r="B21" s="230"/>
      <c r="C21" s="230"/>
      <c r="D21" s="230" t="s">
        <v>198</v>
      </c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22"/>
      <c r="T21" s="222"/>
      <c r="U21" s="231"/>
      <c r="V21" s="231"/>
      <c r="W21" s="221" t="str">
        <f t="shared" si="3"/>
        <v>48.26*27.94*11.43</v>
      </c>
      <c r="X21" s="223">
        <v>19</v>
      </c>
      <c r="Y21" s="223">
        <v>11</v>
      </c>
      <c r="Z21" s="223">
        <v>4.5</v>
      </c>
      <c r="AA21" s="214">
        <f t="shared" si="4"/>
        <v>48.26</v>
      </c>
      <c r="AB21" s="214">
        <f t="shared" si="0"/>
        <v>27.94</v>
      </c>
      <c r="AC21" s="214">
        <f t="shared" si="0"/>
        <v>11.43</v>
      </c>
    </row>
    <row r="22" spans="1:29">
      <c r="A22" s="230">
        <v>3</v>
      </c>
      <c r="B22" s="230"/>
      <c r="C22" s="230">
        <v>3</v>
      </c>
      <c r="D22" s="230" t="s">
        <v>190</v>
      </c>
      <c r="E22" s="230"/>
      <c r="F22" s="230"/>
      <c r="G22" s="230"/>
      <c r="H22" s="230">
        <v>8</v>
      </c>
      <c r="I22" s="230">
        <v>8</v>
      </c>
      <c r="J22" s="230"/>
      <c r="K22" s="230"/>
      <c r="L22" s="230"/>
      <c r="M22" s="230">
        <v>36</v>
      </c>
      <c r="N22" s="230"/>
      <c r="O22" s="230"/>
      <c r="P22" s="230"/>
      <c r="Q22" s="230">
        <v>1</v>
      </c>
      <c r="R22" s="230">
        <v>8</v>
      </c>
      <c r="S22" s="222">
        <f t="shared" si="1"/>
        <v>1.1399999999999999</v>
      </c>
      <c r="T22" s="222">
        <f t="shared" si="2"/>
        <v>2.09</v>
      </c>
      <c r="U22" s="231">
        <v>1.1399999999999999</v>
      </c>
      <c r="V22" s="231">
        <v>2.09</v>
      </c>
      <c r="W22" s="221" t="str">
        <f t="shared" si="3"/>
        <v>25.4*22.86*8.89</v>
      </c>
      <c r="X22" s="223">
        <v>10</v>
      </c>
      <c r="Y22" s="223">
        <v>9</v>
      </c>
      <c r="Z22" s="223">
        <v>3.5</v>
      </c>
      <c r="AA22" s="214">
        <f t="shared" si="4"/>
        <v>25.4</v>
      </c>
      <c r="AB22" s="214">
        <f t="shared" si="0"/>
        <v>22.86</v>
      </c>
      <c r="AC22" s="214">
        <f t="shared" si="0"/>
        <v>8.89</v>
      </c>
    </row>
    <row r="23" spans="1:29">
      <c r="A23" s="230">
        <v>4</v>
      </c>
      <c r="B23" s="230"/>
      <c r="C23" s="230">
        <v>4</v>
      </c>
      <c r="D23" s="230" t="s">
        <v>190</v>
      </c>
      <c r="E23" s="230"/>
      <c r="F23" s="230"/>
      <c r="G23" s="230"/>
      <c r="H23" s="230">
        <v>8</v>
      </c>
      <c r="I23" s="230"/>
      <c r="J23" s="230"/>
      <c r="K23" s="230"/>
      <c r="L23" s="230">
        <v>8</v>
      </c>
      <c r="M23" s="230"/>
      <c r="N23" s="230"/>
      <c r="O23" s="230"/>
      <c r="P23" s="230"/>
      <c r="Q23" s="230">
        <v>1</v>
      </c>
      <c r="R23" s="230">
        <v>8</v>
      </c>
      <c r="S23" s="222"/>
      <c r="T23" s="222"/>
      <c r="U23" s="231"/>
      <c r="V23" s="231"/>
      <c r="W23" s="221" t="str">
        <f t="shared" si="3"/>
        <v>25.4*22.86*8.89</v>
      </c>
      <c r="X23" s="223">
        <v>10</v>
      </c>
      <c r="Y23" s="223">
        <v>9</v>
      </c>
      <c r="Z23" s="223">
        <v>3.5</v>
      </c>
      <c r="AA23" s="214">
        <f t="shared" si="4"/>
        <v>25.4</v>
      </c>
      <c r="AB23" s="214">
        <f t="shared" si="0"/>
        <v>22.86</v>
      </c>
      <c r="AC23" s="214">
        <f t="shared" si="0"/>
        <v>8.89</v>
      </c>
    </row>
    <row r="24" spans="1:29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>
        <v>50</v>
      </c>
      <c r="N24" s="230"/>
      <c r="O24" s="230"/>
      <c r="P24" s="230"/>
      <c r="Q24" s="230"/>
      <c r="R24" s="230"/>
      <c r="S24" s="222"/>
      <c r="T24" s="222"/>
      <c r="U24" s="231"/>
      <c r="V24" s="231"/>
      <c r="W24" s="230"/>
      <c r="X24" s="223"/>
      <c r="Y24" s="223"/>
      <c r="Z24" s="223"/>
    </row>
    <row r="25" spans="1:29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22"/>
      <c r="T25" s="222"/>
      <c r="U25" s="231"/>
      <c r="V25" s="231"/>
      <c r="W25" s="230"/>
    </row>
    <row r="26" spans="1:29" s="216" customFormat="1" ht="14.25">
      <c r="A26" s="232"/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>
        <f>SUM(M19:M25)</f>
        <v>86</v>
      </c>
      <c r="N26" s="232">
        <f>SUM(N19:N25)</f>
        <v>0</v>
      </c>
      <c r="O26" s="232">
        <f>SUM(O19:O25)</f>
        <v>0</v>
      </c>
      <c r="P26" s="232">
        <f>SUM(P19:P25)</f>
        <v>0</v>
      </c>
      <c r="Q26" s="232">
        <f>SUM(Q19:Q25)</f>
        <v>4</v>
      </c>
      <c r="R26" s="232">
        <f>SUM(R19:R25)</f>
        <v>48</v>
      </c>
      <c r="S26" s="232"/>
      <c r="T26" s="305"/>
      <c r="U26" s="232">
        <f>SUM(U19:U25)</f>
        <v>4.49</v>
      </c>
      <c r="V26" s="305">
        <f>SUM(V19:V25)</f>
        <v>7.26</v>
      </c>
      <c r="W26" s="232"/>
    </row>
    <row r="27" spans="1:29" s="216" customFormat="1" ht="14.25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</row>
    <row r="28" spans="1:29">
      <c r="A28" s="223"/>
      <c r="B28" s="223"/>
      <c r="C28" s="223"/>
      <c r="D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4"/>
      <c r="T28" s="224"/>
      <c r="U28" s="224"/>
      <c r="V28" s="224"/>
      <c r="W28" s="215"/>
    </row>
    <row r="29" spans="1:29">
      <c r="D29" s="234" t="s">
        <v>191</v>
      </c>
      <c r="E29" s="234" t="s">
        <v>181</v>
      </c>
      <c r="F29" s="234" t="s">
        <v>192</v>
      </c>
      <c r="G29" s="234" t="s">
        <v>193</v>
      </c>
      <c r="H29" s="234" t="s">
        <v>59</v>
      </c>
      <c r="I29" s="234" t="s">
        <v>27</v>
      </c>
      <c r="J29" s="234" t="s">
        <v>28</v>
      </c>
      <c r="K29" s="234" t="s">
        <v>29</v>
      </c>
      <c r="L29" s="234" t="s">
        <v>30</v>
      </c>
      <c r="M29" s="234"/>
      <c r="N29" s="234"/>
      <c r="O29" s="234"/>
      <c r="P29" s="234"/>
      <c r="Q29" s="219" t="s">
        <v>31</v>
      </c>
      <c r="R29" s="219" t="s">
        <v>32</v>
      </c>
    </row>
    <row r="30" spans="1:29">
      <c r="D30" s="235" t="s">
        <v>209</v>
      </c>
      <c r="E30" s="235" t="s">
        <v>222</v>
      </c>
      <c r="F30" s="235" t="s">
        <v>224</v>
      </c>
      <c r="G30" s="235" t="s">
        <v>262</v>
      </c>
      <c r="H30" s="230">
        <v>8</v>
      </c>
      <c r="I30" s="230">
        <v>16</v>
      </c>
      <c r="J30" s="230">
        <v>16</v>
      </c>
      <c r="K30" s="230">
        <v>8</v>
      </c>
      <c r="L30" s="230"/>
      <c r="M30" s="234"/>
      <c r="N30" s="234"/>
      <c r="O30" s="234"/>
      <c r="P30" s="234"/>
      <c r="Q30" s="235">
        <v>4</v>
      </c>
      <c r="R30" s="235">
        <v>48</v>
      </c>
      <c r="X30" s="214">
        <f>+SUM(H30:L30)</f>
        <v>48</v>
      </c>
      <c r="Y30" s="214">
        <f>+R30-X30</f>
        <v>0</v>
      </c>
    </row>
    <row r="31" spans="1:29">
      <c r="D31" s="235"/>
      <c r="E31" s="235"/>
      <c r="F31" s="235"/>
      <c r="G31" s="235"/>
      <c r="H31" s="230"/>
      <c r="I31" s="230"/>
      <c r="J31" s="230"/>
      <c r="K31" s="230"/>
      <c r="L31" s="230"/>
      <c r="M31" s="234"/>
      <c r="N31" s="234"/>
      <c r="O31" s="234"/>
      <c r="P31" s="234"/>
      <c r="Q31" s="235"/>
      <c r="R31" s="235"/>
    </row>
    <row r="32" spans="1:29"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</row>
    <row r="33" spans="4:18">
      <c r="D33" s="215"/>
      <c r="E33" s="215"/>
      <c r="F33" s="215"/>
      <c r="G33" s="215"/>
      <c r="H33" s="215"/>
      <c r="I33" s="215"/>
      <c r="J33" s="215"/>
      <c r="K33" s="218" t="s">
        <v>33</v>
      </c>
      <c r="L33" s="215"/>
      <c r="M33" s="218"/>
      <c r="N33" s="218"/>
      <c r="O33" s="218"/>
      <c r="P33" s="218"/>
      <c r="Q33" s="218">
        <f>SUM(Q30:Q31)</f>
        <v>4</v>
      </c>
      <c r="R33" s="218">
        <f>SUM(R30:R31)</f>
        <v>48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  <row r="68" s="214" customFormat="1"/>
    <row r="69" s="214" customFormat="1"/>
    <row r="70" s="214" customFormat="1"/>
    <row r="71" s="214" customFormat="1"/>
    <row r="72" s="214" customFormat="1"/>
    <row r="73" s="214" customFormat="1"/>
    <row r="74" s="214" customFormat="1"/>
    <row r="75" s="214" customFormat="1"/>
    <row r="76" s="214" customFormat="1"/>
    <row r="77" s="214" customFormat="1"/>
    <row r="78" s="214" customFormat="1"/>
    <row r="79" s="214" customFormat="1"/>
    <row r="80" s="214" customFormat="1"/>
    <row r="81" s="214" customFormat="1"/>
    <row r="82" s="214" customFormat="1"/>
    <row r="83" s="214" customFormat="1"/>
  </sheetData>
  <autoFilter ref="A18:ID18" xr:uid="{00000000-0009-0000-0000-000005000000}">
    <filterColumn colId="0" showButton="0"/>
    <filterColumn colId="1" showButton="0"/>
  </autoFilter>
  <mergeCells count="6">
    <mergeCell ref="A4:T4"/>
    <mergeCell ref="BT6:CH6"/>
    <mergeCell ref="A12:C12"/>
    <mergeCell ref="A14:C14"/>
    <mergeCell ref="A16:C16"/>
    <mergeCell ref="A18:C18"/>
  </mergeCells>
  <pageMargins left="0.24791666700000001" right="0.24791666700000001" top="0.98402777777777795" bottom="0.98402777777777795" header="0.51180555555555496" footer="0.51180555555555496"/>
  <pageSetup scale="56" fitToHeight="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AC42-FE49-421C-98B2-89E9B017A99D}">
  <sheetPr>
    <pageSetUpPr fitToPage="1"/>
  </sheetPr>
  <dimension ref="A1:CG149"/>
  <sheetViews>
    <sheetView view="pageBreakPreview" topLeftCell="A55" zoomScale="85" zoomScaleNormal="70" zoomScaleSheetLayoutView="85" workbookViewId="0">
      <selection activeCell="S72" sqref="S72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0.2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23" width="11.25" style="214"/>
    <col min="24" max="27" width="11.25" style="214" customWidth="1"/>
    <col min="28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210</v>
      </c>
      <c r="G13" s="214" t="s">
        <v>176</v>
      </c>
    </row>
    <row r="14" spans="1:85">
      <c r="A14" s="291" t="s">
        <v>177</v>
      </c>
      <c r="B14" s="291"/>
      <c r="D14" s="214" t="str">
        <f>+B13</f>
        <v>EV154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>
        <v>4</v>
      </c>
      <c r="M18" s="219">
        <v>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21">
        <v>1</v>
      </c>
      <c r="B19" s="221">
        <v>1</v>
      </c>
      <c r="C19" s="221"/>
      <c r="D19" s="221" t="s">
        <v>222</v>
      </c>
      <c r="E19" s="221" t="s">
        <v>231</v>
      </c>
      <c r="F19" s="221" t="s">
        <v>232</v>
      </c>
      <c r="G19" s="221">
        <v>8</v>
      </c>
      <c r="H19" s="221">
        <v>8</v>
      </c>
      <c r="I19" s="221"/>
      <c r="J19" s="221"/>
      <c r="K19" s="221"/>
      <c r="L19" s="221"/>
      <c r="M19" s="221"/>
      <c r="N19" s="221"/>
      <c r="O19" s="221"/>
      <c r="P19" s="221">
        <v>1</v>
      </c>
      <c r="Q19" s="221">
        <v>8</v>
      </c>
      <c r="R19" s="222">
        <f>+T19/P19</f>
        <v>0.7</v>
      </c>
      <c r="S19" s="222">
        <f>+U19/P19</f>
        <v>1</v>
      </c>
      <c r="T19" s="222">
        <v>0.7</v>
      </c>
      <c r="U19" s="222">
        <v>1</v>
      </c>
      <c r="V19" s="221" t="str">
        <f>Z19&amp;"*"&amp;AA19&amp;"*"&amp;AB19</f>
        <v>25.4*22.86*8.89</v>
      </c>
      <c r="W19" s="223">
        <v>10</v>
      </c>
      <c r="X19" s="223">
        <v>9</v>
      </c>
      <c r="Y19" s="223">
        <v>3.5</v>
      </c>
      <c r="Z19" s="214">
        <f>+W19*2.54</f>
        <v>25.4</v>
      </c>
      <c r="AA19" s="214">
        <f t="shared" ref="AA19:AB19" si="0">+X19*2.54</f>
        <v>22.86</v>
      </c>
      <c r="AB19" s="214">
        <f t="shared" si="0"/>
        <v>8.89</v>
      </c>
    </row>
    <row r="20" spans="1:28">
      <c r="A20" s="221">
        <v>2</v>
      </c>
      <c r="B20" s="221">
        <v>2</v>
      </c>
      <c r="C20" s="221"/>
      <c r="D20" s="221"/>
      <c r="E20" s="221"/>
      <c r="F20" s="221"/>
      <c r="G20" s="221">
        <v>25</v>
      </c>
      <c r="H20" s="221"/>
      <c r="I20" s="221">
        <v>25</v>
      </c>
      <c r="J20" s="221"/>
      <c r="K20" s="221"/>
      <c r="L20" s="221"/>
      <c r="M20" s="221"/>
      <c r="N20" s="221"/>
      <c r="O20" s="221"/>
      <c r="P20" s="221">
        <v>1</v>
      </c>
      <c r="Q20" s="221">
        <v>25</v>
      </c>
      <c r="R20" s="222">
        <f t="shared" ref="R20:R61" si="1">+T20/P20</f>
        <v>2.42</v>
      </c>
      <c r="S20" s="222">
        <f t="shared" ref="S20:S61" si="2">+U20/P20</f>
        <v>3.38</v>
      </c>
      <c r="T20" s="222">
        <v>2.42</v>
      </c>
      <c r="U20" s="222">
        <v>3.38</v>
      </c>
      <c r="V20" s="221" t="str">
        <f t="shared" ref="V20:V61" si="3">Z20&amp;"*"&amp;AA20&amp;"*"&amp;AB20</f>
        <v>50.8*43.18*8.89</v>
      </c>
      <c r="W20" s="223">
        <v>20</v>
      </c>
      <c r="X20" s="223">
        <v>17</v>
      </c>
      <c r="Y20" s="223">
        <v>3.5</v>
      </c>
      <c r="Z20" s="214">
        <f t="shared" ref="Z20:Z61" si="4">+W20*2.54</f>
        <v>50.8</v>
      </c>
      <c r="AA20" s="214">
        <f t="shared" ref="AA20:AA61" si="5">+X20*2.54</f>
        <v>43.18</v>
      </c>
      <c r="AB20" s="214">
        <f t="shared" ref="AB20:AB61" si="6">+Y20*2.54</f>
        <v>8.89</v>
      </c>
    </row>
    <row r="21" spans="1:28">
      <c r="A21" s="230">
        <v>3</v>
      </c>
      <c r="B21" s="230">
        <v>3</v>
      </c>
      <c r="C21" s="230"/>
      <c r="D21" s="230"/>
      <c r="E21" s="230"/>
      <c r="F21" s="230"/>
      <c r="G21" s="230">
        <v>32</v>
      </c>
      <c r="H21" s="230"/>
      <c r="I21" s="230"/>
      <c r="J21" s="230">
        <v>32</v>
      </c>
      <c r="K21" s="230"/>
      <c r="L21" s="230"/>
      <c r="M21" s="230"/>
      <c r="N21" s="230"/>
      <c r="O21" s="230"/>
      <c r="P21" s="230">
        <v>1</v>
      </c>
      <c r="Q21" s="230">
        <v>32</v>
      </c>
      <c r="R21" s="222">
        <f t="shared" si="1"/>
        <v>3.1599999999999997</v>
      </c>
      <c r="S21" s="222">
        <f t="shared" si="2"/>
        <v>4.1399999999999997</v>
      </c>
      <c r="T21" s="231">
        <v>3.1599999999999997</v>
      </c>
      <c r="U21" s="231">
        <v>4.1399999999999997</v>
      </c>
      <c r="V21" s="221" t="str">
        <f t="shared" si="3"/>
        <v>50.8*43.18*10.16</v>
      </c>
      <c r="W21" s="223">
        <v>20</v>
      </c>
      <c r="X21" s="223">
        <v>17</v>
      </c>
      <c r="Y21" s="223">
        <v>4</v>
      </c>
      <c r="Z21" s="214">
        <f t="shared" si="4"/>
        <v>50.8</v>
      </c>
      <c r="AA21" s="214">
        <f t="shared" si="5"/>
        <v>43.18</v>
      </c>
      <c r="AB21" s="214">
        <f t="shared" si="6"/>
        <v>10.16</v>
      </c>
    </row>
    <row r="22" spans="1:28">
      <c r="A22" s="230">
        <v>4</v>
      </c>
      <c r="B22" s="230">
        <v>4</v>
      </c>
      <c r="C22" s="230"/>
      <c r="D22" s="230"/>
      <c r="E22" s="230"/>
      <c r="F22" s="230"/>
      <c r="G22" s="230">
        <v>31</v>
      </c>
      <c r="H22" s="230"/>
      <c r="I22" s="230"/>
      <c r="J22" s="230"/>
      <c r="K22" s="230">
        <v>31</v>
      </c>
      <c r="L22" s="230"/>
      <c r="M22" s="230"/>
      <c r="N22" s="230"/>
      <c r="O22" s="230"/>
      <c r="P22" s="230">
        <v>1</v>
      </c>
      <c r="Q22" s="230">
        <v>31</v>
      </c>
      <c r="R22" s="222">
        <f t="shared" si="1"/>
        <v>3.7</v>
      </c>
      <c r="S22" s="222">
        <f t="shared" si="2"/>
        <v>4.7</v>
      </c>
      <c r="T22" s="231">
        <v>3.7</v>
      </c>
      <c r="U22" s="231">
        <v>4.7</v>
      </c>
      <c r="V22" s="221" t="str">
        <f t="shared" si="3"/>
        <v>50.8*43.18*11.43</v>
      </c>
      <c r="W22" s="223">
        <v>20</v>
      </c>
      <c r="X22" s="223">
        <v>17</v>
      </c>
      <c r="Y22" s="223">
        <v>4.5</v>
      </c>
      <c r="Z22" s="214">
        <f t="shared" si="4"/>
        <v>50.8</v>
      </c>
      <c r="AA22" s="214">
        <f t="shared" si="5"/>
        <v>43.18</v>
      </c>
      <c r="AB22" s="214">
        <f t="shared" si="6"/>
        <v>11.43</v>
      </c>
    </row>
    <row r="23" spans="1:28">
      <c r="A23" s="230">
        <v>5</v>
      </c>
      <c r="B23" s="230">
        <v>5</v>
      </c>
      <c r="C23" s="230"/>
      <c r="D23" s="230"/>
      <c r="E23" s="230"/>
      <c r="F23" s="230"/>
      <c r="G23" s="230">
        <v>24</v>
      </c>
      <c r="H23" s="230"/>
      <c r="I23" s="230"/>
      <c r="J23" s="230"/>
      <c r="K23" s="230"/>
      <c r="L23" s="230">
        <v>24</v>
      </c>
      <c r="M23" s="230"/>
      <c r="N23" s="230"/>
      <c r="O23" s="230"/>
      <c r="P23" s="230">
        <v>1</v>
      </c>
      <c r="Q23" s="230">
        <v>24</v>
      </c>
      <c r="R23" s="222">
        <f t="shared" si="1"/>
        <v>2.98</v>
      </c>
      <c r="S23" s="222">
        <f t="shared" si="2"/>
        <v>3.96</v>
      </c>
      <c r="T23" s="231">
        <v>2.98</v>
      </c>
      <c r="U23" s="231">
        <v>3.96</v>
      </c>
      <c r="V23" s="221" t="str">
        <f t="shared" si="3"/>
        <v>50.8*43.18*10.16</v>
      </c>
      <c r="W23" s="223">
        <v>20</v>
      </c>
      <c r="X23" s="223">
        <v>17</v>
      </c>
      <c r="Y23" s="223">
        <v>4</v>
      </c>
      <c r="Z23" s="214">
        <f t="shared" si="4"/>
        <v>50.8</v>
      </c>
      <c r="AA23" s="214">
        <f t="shared" si="5"/>
        <v>43.18</v>
      </c>
      <c r="AB23" s="214">
        <f t="shared" si="6"/>
        <v>10.16</v>
      </c>
    </row>
    <row r="24" spans="1:28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>
        <v>24</v>
      </c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/>
      <c r="X24" s="223"/>
      <c r="Y24" s="223"/>
      <c r="Z24" s="214">
        <f t="shared" si="4"/>
        <v>0</v>
      </c>
      <c r="AA24" s="214">
        <f t="shared" si="5"/>
        <v>0</v>
      </c>
      <c r="AB24" s="214">
        <f t="shared" si="6"/>
        <v>0</v>
      </c>
    </row>
    <row r="25" spans="1:28">
      <c r="A25" s="230">
        <v>6</v>
      </c>
      <c r="B25" s="230">
        <v>6</v>
      </c>
      <c r="C25" s="230"/>
      <c r="D25" s="230" t="s">
        <v>222</v>
      </c>
      <c r="E25" s="230" t="s">
        <v>261</v>
      </c>
      <c r="F25" s="230" t="s">
        <v>262</v>
      </c>
      <c r="G25" s="230">
        <v>8</v>
      </c>
      <c r="H25" s="230">
        <v>8</v>
      </c>
      <c r="I25" s="230"/>
      <c r="J25" s="230"/>
      <c r="K25" s="230"/>
      <c r="L25" s="230"/>
      <c r="M25" s="230"/>
      <c r="N25" s="230"/>
      <c r="O25" s="230"/>
      <c r="P25" s="230">
        <v>1</v>
      </c>
      <c r="Q25" s="230">
        <v>8</v>
      </c>
      <c r="R25" s="222">
        <f t="shared" si="1"/>
        <v>0.7</v>
      </c>
      <c r="S25" s="222">
        <f t="shared" si="2"/>
        <v>1</v>
      </c>
      <c r="T25" s="231">
        <v>0.7</v>
      </c>
      <c r="U25" s="231">
        <v>1</v>
      </c>
      <c r="V25" s="221" t="str">
        <f t="shared" si="3"/>
        <v>25.4*22.86*8.89</v>
      </c>
      <c r="W25" s="223">
        <v>10</v>
      </c>
      <c r="X25" s="223">
        <v>9</v>
      </c>
      <c r="Y25" s="223">
        <v>3.5</v>
      </c>
      <c r="Z25" s="214">
        <f t="shared" si="4"/>
        <v>25.4</v>
      </c>
      <c r="AA25" s="214">
        <f t="shared" si="5"/>
        <v>22.86</v>
      </c>
      <c r="AB25" s="214">
        <f t="shared" si="6"/>
        <v>8.89</v>
      </c>
    </row>
    <row r="26" spans="1:28">
      <c r="A26" s="230">
        <v>7</v>
      </c>
      <c r="B26" s="230">
        <v>7</v>
      </c>
      <c r="C26" s="230"/>
      <c r="D26" s="230"/>
      <c r="E26" s="230"/>
      <c r="F26" s="230"/>
      <c r="G26" s="230">
        <v>25</v>
      </c>
      <c r="H26" s="230"/>
      <c r="I26" s="230">
        <v>25</v>
      </c>
      <c r="J26" s="230"/>
      <c r="K26" s="230"/>
      <c r="L26" s="230"/>
      <c r="M26" s="230"/>
      <c r="N26" s="230"/>
      <c r="O26" s="230"/>
      <c r="P26" s="230">
        <v>1</v>
      </c>
      <c r="Q26" s="230">
        <v>25</v>
      </c>
      <c r="R26" s="222">
        <f t="shared" si="1"/>
        <v>2.42</v>
      </c>
      <c r="S26" s="222">
        <f t="shared" si="2"/>
        <v>3.38</v>
      </c>
      <c r="T26" s="231">
        <v>2.42</v>
      </c>
      <c r="U26" s="231">
        <v>3.38</v>
      </c>
      <c r="V26" s="221" t="str">
        <f t="shared" si="3"/>
        <v>50.8*43.18*8.89</v>
      </c>
      <c r="W26" s="223">
        <v>20</v>
      </c>
      <c r="X26" s="223">
        <v>17</v>
      </c>
      <c r="Y26" s="223">
        <v>3.5</v>
      </c>
      <c r="Z26" s="214">
        <f t="shared" si="4"/>
        <v>50.8</v>
      </c>
      <c r="AA26" s="214">
        <f t="shared" si="5"/>
        <v>43.18</v>
      </c>
      <c r="AB26" s="214">
        <f t="shared" si="6"/>
        <v>8.89</v>
      </c>
    </row>
    <row r="27" spans="1:28">
      <c r="A27" s="230">
        <v>8</v>
      </c>
      <c r="B27" s="230">
        <v>8</v>
      </c>
      <c r="C27" s="230"/>
      <c r="D27" s="230"/>
      <c r="E27" s="230"/>
      <c r="F27" s="230"/>
      <c r="G27" s="230">
        <v>32</v>
      </c>
      <c r="H27" s="230"/>
      <c r="I27" s="230"/>
      <c r="J27" s="230">
        <v>32</v>
      </c>
      <c r="K27" s="230"/>
      <c r="L27" s="230"/>
      <c r="M27" s="230"/>
      <c r="N27" s="230"/>
      <c r="O27" s="230"/>
      <c r="P27" s="230">
        <v>1</v>
      </c>
      <c r="Q27" s="230">
        <v>32</v>
      </c>
      <c r="R27" s="222">
        <f t="shared" si="1"/>
        <v>3.1599999999999997</v>
      </c>
      <c r="S27" s="222">
        <f t="shared" si="2"/>
        <v>4.1399999999999997</v>
      </c>
      <c r="T27" s="231">
        <v>3.1599999999999997</v>
      </c>
      <c r="U27" s="231">
        <v>4.1399999999999997</v>
      </c>
      <c r="V27" s="221" t="str">
        <f t="shared" si="3"/>
        <v>50.8*43.18*10.16</v>
      </c>
      <c r="W27" s="223">
        <v>20</v>
      </c>
      <c r="X27" s="223">
        <v>17</v>
      </c>
      <c r="Y27" s="223">
        <v>4</v>
      </c>
      <c r="Z27" s="214">
        <f t="shared" si="4"/>
        <v>50.8</v>
      </c>
      <c r="AA27" s="214">
        <f t="shared" si="5"/>
        <v>43.18</v>
      </c>
      <c r="AB27" s="214">
        <f t="shared" si="6"/>
        <v>10.16</v>
      </c>
    </row>
    <row r="28" spans="1:28">
      <c r="A28" s="230">
        <v>9</v>
      </c>
      <c r="B28" s="230">
        <v>9</v>
      </c>
      <c r="C28" s="230"/>
      <c r="D28" s="230"/>
      <c r="E28" s="230"/>
      <c r="F28" s="230"/>
      <c r="G28" s="230">
        <v>31</v>
      </c>
      <c r="H28" s="230"/>
      <c r="I28" s="230"/>
      <c r="J28" s="230"/>
      <c r="K28" s="230">
        <v>31</v>
      </c>
      <c r="L28" s="230"/>
      <c r="M28" s="230"/>
      <c r="N28" s="230"/>
      <c r="O28" s="230"/>
      <c r="P28" s="230">
        <v>1</v>
      </c>
      <c r="Q28" s="230">
        <v>31</v>
      </c>
      <c r="R28" s="222">
        <f t="shared" si="1"/>
        <v>3.7</v>
      </c>
      <c r="S28" s="222">
        <f t="shared" si="2"/>
        <v>4.7</v>
      </c>
      <c r="T28" s="231">
        <v>3.7</v>
      </c>
      <c r="U28" s="231">
        <v>4.7</v>
      </c>
      <c r="V28" s="221" t="str">
        <f t="shared" si="3"/>
        <v>50.8*43.18*11.43</v>
      </c>
      <c r="W28" s="223">
        <v>20</v>
      </c>
      <c r="X28" s="223">
        <v>17</v>
      </c>
      <c r="Y28" s="223">
        <v>4.5</v>
      </c>
      <c r="Z28" s="214">
        <f t="shared" si="4"/>
        <v>50.8</v>
      </c>
      <c r="AA28" s="214">
        <f t="shared" si="5"/>
        <v>43.18</v>
      </c>
      <c r="AB28" s="214">
        <f t="shared" si="6"/>
        <v>11.43</v>
      </c>
    </row>
    <row r="29" spans="1:28">
      <c r="A29" s="230">
        <v>10</v>
      </c>
      <c r="B29" s="230">
        <v>10</v>
      </c>
      <c r="C29" s="230"/>
      <c r="D29" s="230"/>
      <c r="E29" s="230"/>
      <c r="F29" s="230"/>
      <c r="G29" s="230">
        <v>24</v>
      </c>
      <c r="H29" s="230"/>
      <c r="I29" s="230"/>
      <c r="J29" s="230"/>
      <c r="K29" s="230"/>
      <c r="L29" s="230">
        <v>24</v>
      </c>
      <c r="M29" s="230"/>
      <c r="N29" s="230"/>
      <c r="O29" s="230"/>
      <c r="P29" s="230">
        <v>1</v>
      </c>
      <c r="Q29" s="230">
        <v>24</v>
      </c>
      <c r="R29" s="222">
        <f t="shared" si="1"/>
        <v>2.98</v>
      </c>
      <c r="S29" s="222">
        <f t="shared" si="2"/>
        <v>3.96</v>
      </c>
      <c r="T29" s="231">
        <v>2.98</v>
      </c>
      <c r="U29" s="231">
        <v>3.96</v>
      </c>
      <c r="V29" s="221" t="str">
        <f t="shared" si="3"/>
        <v>50.8*43.18*10.16</v>
      </c>
      <c r="W29" s="223">
        <v>20</v>
      </c>
      <c r="X29" s="223">
        <v>17</v>
      </c>
      <c r="Y29" s="223">
        <v>4</v>
      </c>
      <c r="Z29" s="214">
        <f t="shared" si="4"/>
        <v>50.8</v>
      </c>
      <c r="AA29" s="214">
        <f t="shared" si="5"/>
        <v>43.18</v>
      </c>
      <c r="AB29" s="214">
        <f t="shared" si="6"/>
        <v>10.16</v>
      </c>
    </row>
    <row r="30" spans="1:28">
      <c r="A30" s="230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>
        <v>24</v>
      </c>
      <c r="M30" s="230"/>
      <c r="N30" s="230"/>
      <c r="O30" s="230"/>
      <c r="P30" s="230"/>
      <c r="Q30" s="230"/>
      <c r="R30" s="222"/>
      <c r="S30" s="222"/>
      <c r="T30" s="231"/>
      <c r="U30" s="231"/>
      <c r="V30" s="221"/>
      <c r="W30" s="223"/>
      <c r="X30" s="223"/>
      <c r="Y30" s="223"/>
      <c r="Z30" s="214">
        <f t="shared" si="4"/>
        <v>0</v>
      </c>
      <c r="AA30" s="214">
        <f t="shared" si="5"/>
        <v>0</v>
      </c>
      <c r="AB30" s="214">
        <f t="shared" si="6"/>
        <v>0</v>
      </c>
    </row>
    <row r="31" spans="1:28">
      <c r="A31" s="230">
        <v>11</v>
      </c>
      <c r="B31" s="230">
        <v>11</v>
      </c>
      <c r="C31" s="230"/>
      <c r="D31" s="230" t="s">
        <v>222</v>
      </c>
      <c r="E31" s="230" t="s">
        <v>257</v>
      </c>
      <c r="F31" s="230" t="s">
        <v>258</v>
      </c>
      <c r="G31" s="230">
        <v>8</v>
      </c>
      <c r="H31" s="230">
        <v>8</v>
      </c>
      <c r="I31" s="230"/>
      <c r="J31" s="230"/>
      <c r="K31" s="230"/>
      <c r="L31" s="230"/>
      <c r="M31" s="230"/>
      <c r="N31" s="230"/>
      <c r="O31" s="230"/>
      <c r="P31" s="230">
        <v>1</v>
      </c>
      <c r="Q31" s="230">
        <v>8</v>
      </c>
      <c r="R31" s="222">
        <f t="shared" si="1"/>
        <v>0.7</v>
      </c>
      <c r="S31" s="222">
        <f t="shared" si="2"/>
        <v>1</v>
      </c>
      <c r="T31" s="231">
        <v>0.7</v>
      </c>
      <c r="U31" s="231">
        <v>1</v>
      </c>
      <c r="V31" s="221" t="str">
        <f t="shared" si="3"/>
        <v>25.4*22.86*8.89</v>
      </c>
      <c r="W31" s="223">
        <v>10</v>
      </c>
      <c r="X31" s="223">
        <v>9</v>
      </c>
      <c r="Y31" s="223">
        <v>3.5</v>
      </c>
      <c r="Z31" s="214">
        <f t="shared" si="4"/>
        <v>25.4</v>
      </c>
      <c r="AA31" s="214">
        <f t="shared" si="5"/>
        <v>22.86</v>
      </c>
      <c r="AB31" s="214">
        <f t="shared" si="6"/>
        <v>8.89</v>
      </c>
    </row>
    <row r="32" spans="1:28">
      <c r="A32" s="230">
        <v>12</v>
      </c>
      <c r="B32" s="230">
        <v>12</v>
      </c>
      <c r="C32" s="230"/>
      <c r="D32" s="230"/>
      <c r="E32" s="230"/>
      <c r="F32" s="230"/>
      <c r="G32" s="230">
        <v>25</v>
      </c>
      <c r="H32" s="230"/>
      <c r="I32" s="230">
        <v>25</v>
      </c>
      <c r="J32" s="230"/>
      <c r="K32" s="230"/>
      <c r="L32" s="230"/>
      <c r="M32" s="230"/>
      <c r="N32" s="230"/>
      <c r="O32" s="230"/>
      <c r="P32" s="230">
        <v>1</v>
      </c>
      <c r="Q32" s="230">
        <v>25</v>
      </c>
      <c r="R32" s="222">
        <f t="shared" si="1"/>
        <v>2.42</v>
      </c>
      <c r="S32" s="222">
        <f t="shared" si="2"/>
        <v>3.38</v>
      </c>
      <c r="T32" s="231">
        <v>2.42</v>
      </c>
      <c r="U32" s="231">
        <v>3.38</v>
      </c>
      <c r="V32" s="221" t="str">
        <f t="shared" si="3"/>
        <v>50.8*43.18*8.89</v>
      </c>
      <c r="W32" s="223">
        <v>20</v>
      </c>
      <c r="X32" s="223">
        <v>17</v>
      </c>
      <c r="Y32" s="223">
        <v>3.5</v>
      </c>
      <c r="Z32" s="214">
        <f t="shared" si="4"/>
        <v>50.8</v>
      </c>
      <c r="AA32" s="214">
        <f t="shared" si="5"/>
        <v>43.18</v>
      </c>
      <c r="AB32" s="214">
        <f t="shared" si="6"/>
        <v>8.89</v>
      </c>
    </row>
    <row r="33" spans="1:28">
      <c r="A33" s="230">
        <v>13</v>
      </c>
      <c r="B33" s="230">
        <v>13</v>
      </c>
      <c r="C33" s="230"/>
      <c r="D33" s="230"/>
      <c r="E33" s="230"/>
      <c r="F33" s="230"/>
      <c r="G33" s="230">
        <v>32</v>
      </c>
      <c r="H33" s="230"/>
      <c r="I33" s="230"/>
      <c r="J33" s="230">
        <v>32</v>
      </c>
      <c r="K33" s="230"/>
      <c r="L33" s="230"/>
      <c r="M33" s="230"/>
      <c r="N33" s="230"/>
      <c r="O33" s="230"/>
      <c r="P33" s="230">
        <v>1</v>
      </c>
      <c r="Q33" s="230">
        <v>32</v>
      </c>
      <c r="R33" s="222">
        <f t="shared" si="1"/>
        <v>3.1599999999999997</v>
      </c>
      <c r="S33" s="222">
        <f t="shared" si="2"/>
        <v>4.1399999999999997</v>
      </c>
      <c r="T33" s="231">
        <v>3.1599999999999997</v>
      </c>
      <c r="U33" s="231">
        <v>4.1399999999999997</v>
      </c>
      <c r="V33" s="221" t="str">
        <f t="shared" si="3"/>
        <v>50.8*43.18*10.16</v>
      </c>
      <c r="W33" s="223">
        <v>20</v>
      </c>
      <c r="X33" s="223">
        <v>17</v>
      </c>
      <c r="Y33" s="223">
        <v>4</v>
      </c>
      <c r="Z33" s="214">
        <f t="shared" si="4"/>
        <v>50.8</v>
      </c>
      <c r="AA33" s="214">
        <f t="shared" si="5"/>
        <v>43.18</v>
      </c>
      <c r="AB33" s="214">
        <f t="shared" si="6"/>
        <v>10.16</v>
      </c>
    </row>
    <row r="34" spans="1:28">
      <c r="A34" s="230">
        <v>14</v>
      </c>
      <c r="B34" s="230">
        <v>14</v>
      </c>
      <c r="C34" s="230"/>
      <c r="D34" s="230"/>
      <c r="E34" s="230"/>
      <c r="F34" s="230"/>
      <c r="G34" s="230">
        <v>31</v>
      </c>
      <c r="H34" s="230"/>
      <c r="I34" s="230"/>
      <c r="J34" s="230"/>
      <c r="K34" s="230">
        <v>31</v>
      </c>
      <c r="L34" s="230"/>
      <c r="M34" s="230"/>
      <c r="N34" s="230"/>
      <c r="O34" s="230"/>
      <c r="P34" s="230">
        <v>1</v>
      </c>
      <c r="Q34" s="230">
        <v>31</v>
      </c>
      <c r="R34" s="222">
        <f t="shared" si="1"/>
        <v>3.7</v>
      </c>
      <c r="S34" s="222">
        <f t="shared" si="2"/>
        <v>4.7</v>
      </c>
      <c r="T34" s="231">
        <v>3.7</v>
      </c>
      <c r="U34" s="231">
        <v>4.7</v>
      </c>
      <c r="V34" s="221" t="str">
        <f t="shared" si="3"/>
        <v>50.8*43.18*11.43</v>
      </c>
      <c r="W34" s="223">
        <v>20</v>
      </c>
      <c r="X34" s="223">
        <v>17</v>
      </c>
      <c r="Y34" s="223">
        <v>4.5</v>
      </c>
      <c r="Z34" s="214">
        <f t="shared" si="4"/>
        <v>50.8</v>
      </c>
      <c r="AA34" s="214">
        <f t="shared" si="5"/>
        <v>43.18</v>
      </c>
      <c r="AB34" s="214">
        <f t="shared" si="6"/>
        <v>11.43</v>
      </c>
    </row>
    <row r="35" spans="1:28">
      <c r="A35" s="230">
        <v>15</v>
      </c>
      <c r="B35" s="230">
        <v>15</v>
      </c>
      <c r="C35" s="230"/>
      <c r="D35" s="230"/>
      <c r="E35" s="230"/>
      <c r="F35" s="230"/>
      <c r="G35" s="230">
        <v>24</v>
      </c>
      <c r="H35" s="230"/>
      <c r="I35" s="230"/>
      <c r="J35" s="230"/>
      <c r="K35" s="230"/>
      <c r="L35" s="230">
        <v>24</v>
      </c>
      <c r="M35" s="230"/>
      <c r="N35" s="230"/>
      <c r="O35" s="230"/>
      <c r="P35" s="230">
        <v>1</v>
      </c>
      <c r="Q35" s="230">
        <v>24</v>
      </c>
      <c r="R35" s="222">
        <f t="shared" si="1"/>
        <v>2.98</v>
      </c>
      <c r="S35" s="222">
        <f t="shared" si="2"/>
        <v>3.96</v>
      </c>
      <c r="T35" s="231">
        <v>2.98</v>
      </c>
      <c r="U35" s="231">
        <v>3.96</v>
      </c>
      <c r="V35" s="221" t="str">
        <f t="shared" si="3"/>
        <v>50.8*43.18*10.16</v>
      </c>
      <c r="W35" s="223">
        <v>20</v>
      </c>
      <c r="X35" s="223">
        <v>17</v>
      </c>
      <c r="Y35" s="223">
        <v>4</v>
      </c>
      <c r="Z35" s="214">
        <f t="shared" si="4"/>
        <v>50.8</v>
      </c>
      <c r="AA35" s="214">
        <f t="shared" si="5"/>
        <v>43.18</v>
      </c>
      <c r="AB35" s="214">
        <f t="shared" si="6"/>
        <v>10.16</v>
      </c>
    </row>
    <row r="36" spans="1:28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>
        <v>24</v>
      </c>
      <c r="M36" s="230"/>
      <c r="N36" s="230"/>
      <c r="O36" s="230"/>
      <c r="P36" s="230"/>
      <c r="Q36" s="230"/>
      <c r="R36" s="222"/>
      <c r="S36" s="222"/>
      <c r="T36" s="231"/>
      <c r="U36" s="231"/>
      <c r="V36" s="221"/>
      <c r="W36" s="223"/>
      <c r="X36" s="223"/>
      <c r="Y36" s="223"/>
      <c r="Z36" s="214">
        <f t="shared" si="4"/>
        <v>0</v>
      </c>
      <c r="AA36" s="214">
        <f t="shared" si="5"/>
        <v>0</v>
      </c>
      <c r="AB36" s="214">
        <f t="shared" si="6"/>
        <v>0</v>
      </c>
    </row>
    <row r="37" spans="1:28">
      <c r="A37" s="230">
        <v>16</v>
      </c>
      <c r="B37" s="230">
        <v>16</v>
      </c>
      <c r="C37" s="230"/>
      <c r="D37" s="230" t="s">
        <v>225</v>
      </c>
      <c r="E37" s="230" t="s">
        <v>231</v>
      </c>
      <c r="F37" s="230" t="s">
        <v>232</v>
      </c>
      <c r="G37" s="230">
        <v>9</v>
      </c>
      <c r="H37" s="230">
        <v>9</v>
      </c>
      <c r="I37" s="230"/>
      <c r="J37" s="230"/>
      <c r="K37" s="230"/>
      <c r="L37" s="230"/>
      <c r="M37" s="230"/>
      <c r="N37" s="230"/>
      <c r="O37" s="230"/>
      <c r="P37" s="230">
        <v>1</v>
      </c>
      <c r="Q37" s="230">
        <v>9</v>
      </c>
      <c r="R37" s="222">
        <f t="shared" si="1"/>
        <v>0.89999999999999991</v>
      </c>
      <c r="S37" s="222">
        <f t="shared" si="2"/>
        <v>1.7</v>
      </c>
      <c r="T37" s="231">
        <v>0.89999999999999991</v>
      </c>
      <c r="U37" s="231">
        <v>1.7</v>
      </c>
      <c r="V37" s="221" t="str">
        <f t="shared" si="3"/>
        <v>50.8*43.18*7.62</v>
      </c>
      <c r="W37" s="223">
        <v>20</v>
      </c>
      <c r="X37" s="223">
        <v>17</v>
      </c>
      <c r="Y37" s="223">
        <v>3</v>
      </c>
      <c r="Z37" s="214">
        <f t="shared" si="4"/>
        <v>50.8</v>
      </c>
      <c r="AA37" s="214">
        <f t="shared" si="5"/>
        <v>43.18</v>
      </c>
      <c r="AB37" s="214">
        <f t="shared" si="6"/>
        <v>7.62</v>
      </c>
    </row>
    <row r="38" spans="1:28">
      <c r="A38" s="230">
        <v>17</v>
      </c>
      <c r="B38" s="230">
        <v>17</v>
      </c>
      <c r="C38" s="230"/>
      <c r="D38" s="230"/>
      <c r="E38" s="230"/>
      <c r="F38" s="230"/>
      <c r="G38" s="230">
        <v>19</v>
      </c>
      <c r="H38" s="230"/>
      <c r="I38" s="230">
        <v>19</v>
      </c>
      <c r="J38" s="230"/>
      <c r="K38" s="230"/>
      <c r="L38" s="230"/>
      <c r="M38" s="230"/>
      <c r="N38" s="230"/>
      <c r="O38" s="230"/>
      <c r="P38" s="230">
        <v>1</v>
      </c>
      <c r="Q38" s="230">
        <v>19</v>
      </c>
      <c r="R38" s="222">
        <f t="shared" si="1"/>
        <v>2.0599999999999996</v>
      </c>
      <c r="S38" s="222">
        <f t="shared" si="2"/>
        <v>2.86</v>
      </c>
      <c r="T38" s="231">
        <v>2.0599999999999996</v>
      </c>
      <c r="U38" s="231">
        <v>2.86</v>
      </c>
      <c r="V38" s="221" t="str">
        <f t="shared" si="3"/>
        <v>50.8*43.18*7.62</v>
      </c>
      <c r="W38" s="223">
        <v>20</v>
      </c>
      <c r="X38" s="223">
        <v>17</v>
      </c>
      <c r="Y38" s="223">
        <v>3</v>
      </c>
      <c r="Z38" s="214">
        <f t="shared" si="4"/>
        <v>50.8</v>
      </c>
      <c r="AA38" s="214">
        <f t="shared" si="5"/>
        <v>43.18</v>
      </c>
      <c r="AB38" s="214">
        <f t="shared" si="6"/>
        <v>7.62</v>
      </c>
    </row>
    <row r="39" spans="1:28">
      <c r="A39" s="230">
        <v>18</v>
      </c>
      <c r="B39" s="230">
        <v>18</v>
      </c>
      <c r="C39" s="230"/>
      <c r="D39" s="230"/>
      <c r="E39" s="230"/>
      <c r="F39" s="230"/>
      <c r="G39" s="230">
        <v>26</v>
      </c>
      <c r="H39" s="230"/>
      <c r="I39" s="230"/>
      <c r="J39" s="230">
        <v>26</v>
      </c>
      <c r="K39" s="230"/>
      <c r="L39" s="230"/>
      <c r="M39" s="230"/>
      <c r="N39" s="230"/>
      <c r="O39" s="230"/>
      <c r="P39" s="230">
        <v>1</v>
      </c>
      <c r="Q39" s="230">
        <v>26</v>
      </c>
      <c r="R39" s="222">
        <f t="shared" si="1"/>
        <v>3.17</v>
      </c>
      <c r="S39" s="222">
        <f t="shared" si="2"/>
        <v>4</v>
      </c>
      <c r="T39" s="231">
        <v>3.17</v>
      </c>
      <c r="U39" s="231">
        <v>4</v>
      </c>
      <c r="V39" s="221" t="str">
        <f t="shared" si="3"/>
        <v>53.34*43.18*8.89</v>
      </c>
      <c r="W39" s="223">
        <v>21</v>
      </c>
      <c r="X39" s="223">
        <v>17</v>
      </c>
      <c r="Y39" s="223">
        <v>3.5</v>
      </c>
      <c r="Z39" s="214">
        <f t="shared" si="4"/>
        <v>53.34</v>
      </c>
      <c r="AA39" s="214">
        <f t="shared" si="5"/>
        <v>43.18</v>
      </c>
      <c r="AB39" s="214">
        <f t="shared" si="6"/>
        <v>8.89</v>
      </c>
    </row>
    <row r="40" spans="1:28">
      <c r="A40" s="230">
        <v>19</v>
      </c>
      <c r="B40" s="230">
        <v>19</v>
      </c>
      <c r="C40" s="230"/>
      <c r="D40" s="230"/>
      <c r="E40" s="230"/>
      <c r="F40" s="230"/>
      <c r="G40" s="230">
        <v>26</v>
      </c>
      <c r="H40" s="230"/>
      <c r="I40" s="230"/>
      <c r="J40" s="230"/>
      <c r="K40" s="230">
        <v>26</v>
      </c>
      <c r="L40" s="230"/>
      <c r="M40" s="230"/>
      <c r="N40" s="230"/>
      <c r="O40" s="230"/>
      <c r="P40" s="230">
        <v>1</v>
      </c>
      <c r="Q40" s="230">
        <v>26</v>
      </c>
      <c r="R40" s="222">
        <f t="shared" si="1"/>
        <v>3.59</v>
      </c>
      <c r="S40" s="222">
        <f t="shared" si="2"/>
        <v>4.42</v>
      </c>
      <c r="T40" s="231">
        <v>3.59</v>
      </c>
      <c r="U40" s="231">
        <v>4.42</v>
      </c>
      <c r="V40" s="221" t="str">
        <f t="shared" si="3"/>
        <v>53.34*43.18*8.89</v>
      </c>
      <c r="W40" s="223">
        <v>21</v>
      </c>
      <c r="X40" s="223">
        <v>17</v>
      </c>
      <c r="Y40" s="223">
        <v>3.5</v>
      </c>
      <c r="Z40" s="214">
        <f t="shared" si="4"/>
        <v>53.34</v>
      </c>
      <c r="AA40" s="214">
        <f t="shared" si="5"/>
        <v>43.18</v>
      </c>
      <c r="AB40" s="214">
        <f t="shared" si="6"/>
        <v>8.89</v>
      </c>
    </row>
    <row r="41" spans="1:28">
      <c r="A41" s="230">
        <v>20</v>
      </c>
      <c r="B41" s="230">
        <v>20</v>
      </c>
      <c r="C41" s="230"/>
      <c r="D41" s="230"/>
      <c r="E41" s="230"/>
      <c r="F41" s="230"/>
      <c r="G41" s="230">
        <v>16</v>
      </c>
      <c r="H41" s="230"/>
      <c r="I41" s="230"/>
      <c r="J41" s="230"/>
      <c r="K41" s="230"/>
      <c r="L41" s="230">
        <v>16</v>
      </c>
      <c r="M41" s="230"/>
      <c r="N41" s="230"/>
      <c r="O41" s="230"/>
      <c r="P41" s="230">
        <v>1</v>
      </c>
      <c r="Q41" s="230">
        <v>16</v>
      </c>
      <c r="R41" s="222">
        <f t="shared" si="1"/>
        <v>2.3499999999999996</v>
      </c>
      <c r="S41" s="222">
        <f t="shared" si="2"/>
        <v>3.15</v>
      </c>
      <c r="T41" s="231">
        <v>2.3499999999999996</v>
      </c>
      <c r="U41" s="231">
        <v>3.15</v>
      </c>
      <c r="V41" s="221" t="str">
        <f t="shared" si="3"/>
        <v>53.34*43.18*7.62</v>
      </c>
      <c r="W41" s="223">
        <v>21</v>
      </c>
      <c r="X41" s="223">
        <v>17</v>
      </c>
      <c r="Y41" s="223">
        <v>3</v>
      </c>
      <c r="Z41" s="214">
        <f t="shared" si="4"/>
        <v>53.34</v>
      </c>
      <c r="AA41" s="214">
        <f t="shared" si="5"/>
        <v>43.18</v>
      </c>
      <c r="AB41" s="214">
        <f t="shared" si="6"/>
        <v>7.62</v>
      </c>
    </row>
    <row r="42" spans="1:28">
      <c r="A42" s="230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>
        <v>16</v>
      </c>
      <c r="M42" s="230"/>
      <c r="N42" s="230"/>
      <c r="O42" s="230"/>
      <c r="P42" s="230"/>
      <c r="Q42" s="230"/>
      <c r="R42" s="222"/>
      <c r="S42" s="222"/>
      <c r="T42" s="231"/>
      <c r="U42" s="231"/>
      <c r="V42" s="221"/>
      <c r="W42" s="223"/>
      <c r="X42" s="223"/>
      <c r="Y42" s="223"/>
      <c r="Z42" s="214">
        <f t="shared" si="4"/>
        <v>0</v>
      </c>
      <c r="AA42" s="214">
        <f t="shared" si="5"/>
        <v>0</v>
      </c>
      <c r="AB42" s="214">
        <f t="shared" si="6"/>
        <v>0</v>
      </c>
    </row>
    <row r="43" spans="1:28">
      <c r="A43" s="230">
        <v>21</v>
      </c>
      <c r="B43" s="230">
        <v>21</v>
      </c>
      <c r="C43" s="230"/>
      <c r="D43" s="230" t="s">
        <v>225</v>
      </c>
      <c r="E43" s="230" t="s">
        <v>257</v>
      </c>
      <c r="F43" s="230" t="s">
        <v>258</v>
      </c>
      <c r="G43" s="230">
        <v>9</v>
      </c>
      <c r="H43" s="230">
        <v>9</v>
      </c>
      <c r="I43" s="230"/>
      <c r="J43" s="230"/>
      <c r="K43" s="230"/>
      <c r="L43" s="230"/>
      <c r="M43" s="230"/>
      <c r="N43" s="230"/>
      <c r="O43" s="230"/>
      <c r="P43" s="230">
        <v>1</v>
      </c>
      <c r="Q43" s="230">
        <v>9</v>
      </c>
      <c r="R43" s="222">
        <f t="shared" si="1"/>
        <v>0.89999999999999991</v>
      </c>
      <c r="S43" s="222">
        <f t="shared" si="2"/>
        <v>1.7</v>
      </c>
      <c r="T43" s="231">
        <v>0.89999999999999991</v>
      </c>
      <c r="U43" s="231">
        <v>1.7</v>
      </c>
      <c r="V43" s="221" t="str">
        <f t="shared" si="3"/>
        <v>50.8*43.18*7.62</v>
      </c>
      <c r="W43" s="223">
        <v>20</v>
      </c>
      <c r="X43" s="223">
        <v>17</v>
      </c>
      <c r="Y43" s="223">
        <v>3</v>
      </c>
      <c r="Z43" s="214">
        <f t="shared" si="4"/>
        <v>50.8</v>
      </c>
      <c r="AA43" s="214">
        <f t="shared" si="5"/>
        <v>43.18</v>
      </c>
      <c r="AB43" s="214">
        <f t="shared" si="6"/>
        <v>7.62</v>
      </c>
    </row>
    <row r="44" spans="1:28">
      <c r="A44" s="230">
        <v>22</v>
      </c>
      <c r="B44" s="230">
        <v>22</v>
      </c>
      <c r="C44" s="230"/>
      <c r="D44" s="230"/>
      <c r="E44" s="230"/>
      <c r="F44" s="230"/>
      <c r="G44" s="230">
        <v>19</v>
      </c>
      <c r="H44" s="230"/>
      <c r="I44" s="230">
        <v>19</v>
      </c>
      <c r="J44" s="230"/>
      <c r="K44" s="230"/>
      <c r="L44" s="230"/>
      <c r="M44" s="230"/>
      <c r="N44" s="230"/>
      <c r="O44" s="230"/>
      <c r="P44" s="230">
        <v>1</v>
      </c>
      <c r="Q44" s="230">
        <v>19</v>
      </c>
      <c r="R44" s="222">
        <f t="shared" si="1"/>
        <v>2.0599999999999996</v>
      </c>
      <c r="S44" s="222">
        <f t="shared" si="2"/>
        <v>2.86</v>
      </c>
      <c r="T44" s="231">
        <v>2.0599999999999996</v>
      </c>
      <c r="U44" s="231">
        <v>2.86</v>
      </c>
      <c r="V44" s="221" t="str">
        <f t="shared" si="3"/>
        <v>50.8*43.18*7.62</v>
      </c>
      <c r="W44" s="223">
        <v>20</v>
      </c>
      <c r="X44" s="223">
        <v>17</v>
      </c>
      <c r="Y44" s="223">
        <v>3</v>
      </c>
      <c r="Z44" s="214">
        <f t="shared" si="4"/>
        <v>50.8</v>
      </c>
      <c r="AA44" s="214">
        <f t="shared" si="5"/>
        <v>43.18</v>
      </c>
      <c r="AB44" s="214">
        <f t="shared" si="6"/>
        <v>7.62</v>
      </c>
    </row>
    <row r="45" spans="1:28">
      <c r="A45" s="230">
        <v>23</v>
      </c>
      <c r="B45" s="230">
        <v>23</v>
      </c>
      <c r="C45" s="230"/>
      <c r="D45" s="230"/>
      <c r="E45" s="230"/>
      <c r="F45" s="230"/>
      <c r="G45" s="230">
        <v>26</v>
      </c>
      <c r="H45" s="230"/>
      <c r="I45" s="230"/>
      <c r="J45" s="230">
        <v>26</v>
      </c>
      <c r="K45" s="230"/>
      <c r="L45" s="230"/>
      <c r="M45" s="230"/>
      <c r="N45" s="230"/>
      <c r="O45" s="230"/>
      <c r="P45" s="230">
        <v>1</v>
      </c>
      <c r="Q45" s="230">
        <v>26</v>
      </c>
      <c r="R45" s="222">
        <f t="shared" si="1"/>
        <v>3.17</v>
      </c>
      <c r="S45" s="222">
        <f t="shared" si="2"/>
        <v>4</v>
      </c>
      <c r="T45" s="231">
        <v>3.17</v>
      </c>
      <c r="U45" s="231">
        <v>4</v>
      </c>
      <c r="V45" s="221" t="str">
        <f t="shared" si="3"/>
        <v>53.34*43.18*8.89</v>
      </c>
      <c r="W45" s="223">
        <v>21</v>
      </c>
      <c r="X45" s="223">
        <v>17</v>
      </c>
      <c r="Y45" s="223">
        <v>3.5</v>
      </c>
      <c r="Z45" s="214">
        <f t="shared" si="4"/>
        <v>53.34</v>
      </c>
      <c r="AA45" s="214">
        <f t="shared" si="5"/>
        <v>43.18</v>
      </c>
      <c r="AB45" s="214">
        <f t="shared" si="6"/>
        <v>8.89</v>
      </c>
    </row>
    <row r="46" spans="1:28">
      <c r="A46" s="230">
        <v>24</v>
      </c>
      <c r="B46" s="230">
        <v>24</v>
      </c>
      <c r="C46" s="230"/>
      <c r="D46" s="230"/>
      <c r="E46" s="230"/>
      <c r="F46" s="230"/>
      <c r="G46" s="230">
        <v>26</v>
      </c>
      <c r="H46" s="230"/>
      <c r="I46" s="230"/>
      <c r="J46" s="230"/>
      <c r="K46" s="230">
        <v>26</v>
      </c>
      <c r="L46" s="230"/>
      <c r="M46" s="230"/>
      <c r="N46" s="230"/>
      <c r="O46" s="230"/>
      <c r="P46" s="230">
        <v>1</v>
      </c>
      <c r="Q46" s="230">
        <v>26</v>
      </c>
      <c r="R46" s="222">
        <f t="shared" si="1"/>
        <v>3.59</v>
      </c>
      <c r="S46" s="222">
        <f t="shared" si="2"/>
        <v>4.42</v>
      </c>
      <c r="T46" s="231">
        <v>3.59</v>
      </c>
      <c r="U46" s="231">
        <v>4.42</v>
      </c>
      <c r="V46" s="221" t="str">
        <f t="shared" si="3"/>
        <v>53.34*43.18*8.89</v>
      </c>
      <c r="W46" s="223">
        <v>21</v>
      </c>
      <c r="X46" s="223">
        <v>17</v>
      </c>
      <c r="Y46" s="223">
        <v>3.5</v>
      </c>
      <c r="Z46" s="214">
        <f t="shared" si="4"/>
        <v>53.34</v>
      </c>
      <c r="AA46" s="214">
        <f t="shared" si="5"/>
        <v>43.18</v>
      </c>
      <c r="AB46" s="214">
        <f t="shared" si="6"/>
        <v>8.89</v>
      </c>
    </row>
    <row r="47" spans="1:28">
      <c r="A47" s="230">
        <v>25</v>
      </c>
      <c r="B47" s="230">
        <v>25</v>
      </c>
      <c r="C47" s="230"/>
      <c r="D47" s="230"/>
      <c r="E47" s="230"/>
      <c r="F47" s="230"/>
      <c r="G47" s="230">
        <v>16</v>
      </c>
      <c r="H47" s="230"/>
      <c r="I47" s="230"/>
      <c r="J47" s="230"/>
      <c r="K47" s="230"/>
      <c r="L47" s="230">
        <v>16</v>
      </c>
      <c r="M47" s="230"/>
      <c r="N47" s="230"/>
      <c r="O47" s="230"/>
      <c r="P47" s="230">
        <v>1</v>
      </c>
      <c r="Q47" s="230">
        <v>16</v>
      </c>
      <c r="R47" s="222">
        <f t="shared" si="1"/>
        <v>2.3499999999999996</v>
      </c>
      <c r="S47" s="222">
        <f t="shared" si="2"/>
        <v>3.15</v>
      </c>
      <c r="T47" s="231">
        <v>2.3499999999999996</v>
      </c>
      <c r="U47" s="231">
        <v>3.15</v>
      </c>
      <c r="V47" s="221" t="str">
        <f t="shared" si="3"/>
        <v>53.34*43.18*7.62</v>
      </c>
      <c r="W47" s="223">
        <v>21</v>
      </c>
      <c r="X47" s="223">
        <v>17</v>
      </c>
      <c r="Y47" s="223">
        <v>3</v>
      </c>
      <c r="Z47" s="214">
        <f t="shared" si="4"/>
        <v>53.34</v>
      </c>
      <c r="AA47" s="214">
        <f t="shared" si="5"/>
        <v>43.18</v>
      </c>
      <c r="AB47" s="214">
        <f t="shared" si="6"/>
        <v>7.62</v>
      </c>
    </row>
    <row r="48" spans="1:28">
      <c r="A48" s="230"/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>
        <v>16</v>
      </c>
      <c r="M48" s="230"/>
      <c r="N48" s="230"/>
      <c r="O48" s="230"/>
      <c r="P48" s="230"/>
      <c r="Q48" s="230"/>
      <c r="R48" s="222"/>
      <c r="S48" s="222"/>
      <c r="T48" s="231"/>
      <c r="U48" s="231"/>
      <c r="V48" s="221"/>
      <c r="W48" s="223"/>
      <c r="X48" s="223"/>
      <c r="Y48" s="223"/>
      <c r="Z48" s="214">
        <f t="shared" si="4"/>
        <v>0</v>
      </c>
      <c r="AA48" s="214">
        <f t="shared" si="5"/>
        <v>0</v>
      </c>
      <c r="AB48" s="214">
        <f t="shared" si="6"/>
        <v>0</v>
      </c>
    </row>
    <row r="49" spans="1:28">
      <c r="A49" s="230" t="s">
        <v>263</v>
      </c>
      <c r="B49" s="230"/>
      <c r="C49" s="230" t="s">
        <v>198</v>
      </c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22"/>
      <c r="S49" s="222"/>
      <c r="T49" s="231"/>
      <c r="U49" s="231"/>
      <c r="V49" s="221"/>
      <c r="W49" s="223">
        <v>19</v>
      </c>
      <c r="X49" s="223">
        <v>11</v>
      </c>
      <c r="Y49" s="223">
        <v>8.5</v>
      </c>
      <c r="Z49" s="214">
        <f t="shared" si="4"/>
        <v>48.26</v>
      </c>
      <c r="AA49" s="214">
        <f t="shared" si="5"/>
        <v>27.94</v>
      </c>
      <c r="AB49" s="214">
        <f t="shared" si="6"/>
        <v>21.59</v>
      </c>
    </row>
    <row r="50" spans="1:28">
      <c r="A50" s="230">
        <v>26</v>
      </c>
      <c r="B50" s="230">
        <v>26</v>
      </c>
      <c r="C50" s="230" t="s">
        <v>190</v>
      </c>
      <c r="D50" s="230" t="s">
        <v>226</v>
      </c>
      <c r="E50" s="230" t="s">
        <v>261</v>
      </c>
      <c r="F50" s="230" t="s">
        <v>262</v>
      </c>
      <c r="G50" s="230">
        <v>7</v>
      </c>
      <c r="H50" s="230">
        <v>7</v>
      </c>
      <c r="I50" s="230"/>
      <c r="J50" s="230"/>
      <c r="K50" s="230"/>
      <c r="L50" s="230"/>
      <c r="M50" s="230"/>
      <c r="N50" s="230"/>
      <c r="O50" s="230"/>
      <c r="P50" s="230">
        <v>1</v>
      </c>
      <c r="Q50" s="230">
        <v>7</v>
      </c>
      <c r="R50" s="222">
        <f t="shared" si="1"/>
        <v>0.72</v>
      </c>
      <c r="S50" s="222">
        <f t="shared" si="2"/>
        <v>0.96</v>
      </c>
      <c r="T50" s="231">
        <v>0.72</v>
      </c>
      <c r="U50" s="231">
        <v>0.96</v>
      </c>
      <c r="V50" s="221" t="str">
        <f t="shared" si="3"/>
        <v>25.4*22.86*8.89</v>
      </c>
      <c r="W50" s="223">
        <v>10</v>
      </c>
      <c r="X50" s="223">
        <v>9</v>
      </c>
      <c r="Y50" s="223">
        <v>3.5</v>
      </c>
      <c r="Z50" s="214">
        <f t="shared" si="4"/>
        <v>25.4</v>
      </c>
      <c r="AA50" s="214">
        <f t="shared" si="5"/>
        <v>22.86</v>
      </c>
      <c r="AB50" s="214">
        <f t="shared" si="6"/>
        <v>8.89</v>
      </c>
    </row>
    <row r="51" spans="1:28">
      <c r="A51" s="230">
        <v>27</v>
      </c>
      <c r="B51" s="230">
        <v>27</v>
      </c>
      <c r="C51" s="230" t="s">
        <v>190</v>
      </c>
      <c r="D51" s="230"/>
      <c r="E51" s="230"/>
      <c r="F51" s="230"/>
      <c r="G51" s="230">
        <v>14</v>
      </c>
      <c r="H51" s="230"/>
      <c r="I51" s="230">
        <v>14</v>
      </c>
      <c r="J51" s="230"/>
      <c r="K51" s="230"/>
      <c r="L51" s="230"/>
      <c r="M51" s="230"/>
      <c r="N51" s="230"/>
      <c r="O51" s="230"/>
      <c r="P51" s="230"/>
      <c r="Q51" s="230">
        <v>14</v>
      </c>
      <c r="R51" s="222"/>
      <c r="S51" s="222"/>
      <c r="T51" s="231"/>
      <c r="U51" s="231"/>
      <c r="V51" s="221" t="str">
        <f t="shared" si="3"/>
        <v>44.45*25.4*7.62</v>
      </c>
      <c r="W51" s="223">
        <v>17.5</v>
      </c>
      <c r="X51" s="223">
        <v>10</v>
      </c>
      <c r="Y51" s="223">
        <v>3</v>
      </c>
      <c r="Z51" s="214">
        <f t="shared" si="4"/>
        <v>44.45</v>
      </c>
      <c r="AA51" s="214">
        <f t="shared" si="5"/>
        <v>25.4</v>
      </c>
      <c r="AB51" s="214">
        <f t="shared" si="6"/>
        <v>7.62</v>
      </c>
    </row>
    <row r="52" spans="1:28">
      <c r="A52" s="230">
        <v>28</v>
      </c>
      <c r="B52" s="230">
        <v>28</v>
      </c>
      <c r="C52" s="230" t="s">
        <v>189</v>
      </c>
      <c r="D52" s="230"/>
      <c r="E52" s="230"/>
      <c r="F52" s="230"/>
      <c r="G52" s="230">
        <v>19</v>
      </c>
      <c r="H52" s="230"/>
      <c r="I52" s="230"/>
      <c r="J52" s="230">
        <v>19</v>
      </c>
      <c r="K52" s="230"/>
      <c r="L52" s="230"/>
      <c r="M52" s="230"/>
      <c r="N52" s="230"/>
      <c r="O52" s="230"/>
      <c r="P52" s="230">
        <v>1</v>
      </c>
      <c r="Q52" s="230">
        <v>19</v>
      </c>
      <c r="R52" s="222">
        <f t="shared" si="1"/>
        <v>2.2800000000000002</v>
      </c>
      <c r="S52" s="222">
        <f t="shared" si="2"/>
        <v>3.08</v>
      </c>
      <c r="T52" s="231">
        <v>2.2800000000000002</v>
      </c>
      <c r="U52" s="231">
        <v>3.08</v>
      </c>
      <c r="V52" s="221" t="str">
        <f t="shared" si="3"/>
        <v>53.34*43.18*7.62</v>
      </c>
      <c r="W52" s="223">
        <v>21</v>
      </c>
      <c r="X52" s="223">
        <v>17</v>
      </c>
      <c r="Y52" s="223">
        <v>3</v>
      </c>
      <c r="Z52" s="214">
        <f t="shared" si="4"/>
        <v>53.34</v>
      </c>
      <c r="AA52" s="214">
        <f t="shared" si="5"/>
        <v>43.18</v>
      </c>
      <c r="AB52" s="214">
        <f t="shared" si="6"/>
        <v>7.62</v>
      </c>
    </row>
    <row r="53" spans="1:28">
      <c r="A53" s="230">
        <v>29</v>
      </c>
      <c r="B53" s="230">
        <v>29</v>
      </c>
      <c r="C53" s="230" t="s">
        <v>189</v>
      </c>
      <c r="D53" s="230"/>
      <c r="E53" s="230"/>
      <c r="F53" s="230"/>
      <c r="G53" s="230">
        <v>18</v>
      </c>
      <c r="H53" s="230"/>
      <c r="I53" s="230"/>
      <c r="J53" s="230"/>
      <c r="K53" s="230">
        <v>18</v>
      </c>
      <c r="L53" s="230"/>
      <c r="M53" s="230"/>
      <c r="N53" s="230"/>
      <c r="O53" s="230"/>
      <c r="P53" s="230">
        <v>1</v>
      </c>
      <c r="Q53" s="230">
        <v>18</v>
      </c>
      <c r="R53" s="222">
        <f t="shared" si="1"/>
        <v>2.4400000000000004</v>
      </c>
      <c r="S53" s="222">
        <f t="shared" si="2"/>
        <v>3.24</v>
      </c>
      <c r="T53" s="231">
        <v>2.4400000000000004</v>
      </c>
      <c r="U53" s="231">
        <v>3.24</v>
      </c>
      <c r="V53" s="221" t="str">
        <f t="shared" si="3"/>
        <v>50.8*43.18*7.62</v>
      </c>
      <c r="W53" s="223">
        <v>20</v>
      </c>
      <c r="X53" s="223">
        <v>17</v>
      </c>
      <c r="Y53" s="223">
        <v>3</v>
      </c>
      <c r="Z53" s="214">
        <f t="shared" si="4"/>
        <v>50.8</v>
      </c>
      <c r="AA53" s="214">
        <f t="shared" si="5"/>
        <v>43.18</v>
      </c>
      <c r="AB53" s="214">
        <f t="shared" si="6"/>
        <v>7.62</v>
      </c>
    </row>
    <row r="54" spans="1:28">
      <c r="A54" s="230">
        <v>30</v>
      </c>
      <c r="B54" s="230">
        <v>30</v>
      </c>
      <c r="C54" s="230" t="s">
        <v>189</v>
      </c>
      <c r="D54" s="230"/>
      <c r="E54" s="230"/>
      <c r="F54" s="230"/>
      <c r="G54" s="230">
        <v>14</v>
      </c>
      <c r="H54" s="230"/>
      <c r="I54" s="230"/>
      <c r="J54" s="230"/>
      <c r="K54" s="230"/>
      <c r="L54" s="230">
        <v>14</v>
      </c>
      <c r="M54" s="230"/>
      <c r="N54" s="230"/>
      <c r="O54" s="230"/>
      <c r="P54" s="230">
        <v>1</v>
      </c>
      <c r="Q54" s="230">
        <v>14</v>
      </c>
      <c r="R54" s="222">
        <f t="shared" si="1"/>
        <v>2.06</v>
      </c>
      <c r="S54" s="222">
        <f t="shared" si="2"/>
        <v>2.54</v>
      </c>
      <c r="T54" s="231">
        <v>2.06</v>
      </c>
      <c r="U54" s="231">
        <v>2.54</v>
      </c>
      <c r="V54" s="221" t="str">
        <f t="shared" si="3"/>
        <v>43.18*25.4*11.43</v>
      </c>
      <c r="W54" s="223">
        <v>17</v>
      </c>
      <c r="X54" s="223">
        <v>10</v>
      </c>
      <c r="Y54" s="223">
        <v>4.5</v>
      </c>
      <c r="Z54" s="214">
        <f t="shared" si="4"/>
        <v>43.18</v>
      </c>
      <c r="AA54" s="214">
        <f t="shared" si="5"/>
        <v>25.4</v>
      </c>
      <c r="AB54" s="214">
        <f t="shared" si="6"/>
        <v>11.43</v>
      </c>
    </row>
    <row r="55" spans="1:28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>
        <v>14</v>
      </c>
      <c r="M55" s="230"/>
      <c r="N55" s="230"/>
      <c r="O55" s="230"/>
      <c r="P55" s="230"/>
      <c r="Q55" s="230"/>
      <c r="R55" s="222"/>
      <c r="S55" s="222"/>
      <c r="T55" s="231"/>
      <c r="U55" s="231"/>
      <c r="V55" s="221"/>
      <c r="W55" s="223"/>
      <c r="X55" s="223"/>
      <c r="Y55" s="223"/>
      <c r="Z55" s="214">
        <f t="shared" si="4"/>
        <v>0</v>
      </c>
      <c r="AA55" s="214">
        <f t="shared" si="5"/>
        <v>0</v>
      </c>
      <c r="AB55" s="214">
        <f t="shared" si="6"/>
        <v>0</v>
      </c>
    </row>
    <row r="56" spans="1:28">
      <c r="A56" s="230" t="s">
        <v>202</v>
      </c>
      <c r="B56" s="230"/>
      <c r="C56" s="230" t="s">
        <v>198</v>
      </c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22"/>
      <c r="S56" s="222"/>
      <c r="T56" s="231"/>
      <c r="U56" s="231"/>
      <c r="V56" s="221"/>
      <c r="W56" s="223">
        <v>19</v>
      </c>
      <c r="X56" s="223">
        <v>11</v>
      </c>
      <c r="Y56" s="223">
        <v>8.5</v>
      </c>
      <c r="Z56" s="214">
        <f t="shared" si="4"/>
        <v>48.26</v>
      </c>
      <c r="AA56" s="214">
        <f t="shared" si="5"/>
        <v>27.94</v>
      </c>
      <c r="AB56" s="214">
        <f t="shared" si="6"/>
        <v>21.59</v>
      </c>
    </row>
    <row r="57" spans="1:28">
      <c r="A57" s="230">
        <v>31</v>
      </c>
      <c r="B57" s="230">
        <v>31</v>
      </c>
      <c r="C57" s="230" t="s">
        <v>190</v>
      </c>
      <c r="D57" s="230" t="s">
        <v>226</v>
      </c>
      <c r="E57" s="230" t="s">
        <v>257</v>
      </c>
      <c r="F57" s="230" t="s">
        <v>258</v>
      </c>
      <c r="G57" s="230">
        <v>7</v>
      </c>
      <c r="H57" s="230">
        <v>7</v>
      </c>
      <c r="I57" s="230"/>
      <c r="J57" s="230"/>
      <c r="K57" s="230"/>
      <c r="L57" s="230"/>
      <c r="M57" s="230"/>
      <c r="N57" s="230"/>
      <c r="O57" s="230"/>
      <c r="P57" s="230">
        <v>1</v>
      </c>
      <c r="Q57" s="230">
        <v>7</v>
      </c>
      <c r="R57" s="222">
        <f t="shared" si="1"/>
        <v>0.72</v>
      </c>
      <c r="S57" s="222">
        <f t="shared" si="2"/>
        <v>0.96</v>
      </c>
      <c r="T57" s="231">
        <v>0.72</v>
      </c>
      <c r="U57" s="231">
        <v>0.96</v>
      </c>
      <c r="V57" s="221" t="str">
        <f t="shared" si="3"/>
        <v>25.4*22.86*8.89</v>
      </c>
      <c r="W57" s="223">
        <v>10</v>
      </c>
      <c r="X57" s="223">
        <v>9</v>
      </c>
      <c r="Y57" s="223">
        <v>3.5</v>
      </c>
      <c r="Z57" s="214">
        <f t="shared" si="4"/>
        <v>25.4</v>
      </c>
      <c r="AA57" s="214">
        <f t="shared" si="5"/>
        <v>22.86</v>
      </c>
      <c r="AB57" s="214">
        <f t="shared" si="6"/>
        <v>8.89</v>
      </c>
    </row>
    <row r="58" spans="1:28">
      <c r="A58" s="230">
        <v>32</v>
      </c>
      <c r="B58" s="230">
        <v>32</v>
      </c>
      <c r="C58" s="230" t="s">
        <v>190</v>
      </c>
      <c r="D58" s="230"/>
      <c r="E58" s="230"/>
      <c r="F58" s="230"/>
      <c r="G58" s="230">
        <v>14</v>
      </c>
      <c r="H58" s="230"/>
      <c r="I58" s="230">
        <v>14</v>
      </c>
      <c r="J58" s="230"/>
      <c r="K58" s="230"/>
      <c r="L58" s="230"/>
      <c r="M58" s="230"/>
      <c r="N58" s="230"/>
      <c r="O58" s="230"/>
      <c r="P58" s="230"/>
      <c r="Q58" s="230">
        <v>14</v>
      </c>
      <c r="R58" s="222"/>
      <c r="S58" s="222"/>
      <c r="T58" s="231"/>
      <c r="U58" s="231"/>
      <c r="V58" s="221" t="str">
        <f t="shared" si="3"/>
        <v>44.45*25.4*7.62</v>
      </c>
      <c r="W58" s="223">
        <v>17.5</v>
      </c>
      <c r="X58" s="223">
        <v>10</v>
      </c>
      <c r="Y58" s="223">
        <v>3</v>
      </c>
      <c r="Z58" s="214">
        <f t="shared" si="4"/>
        <v>44.45</v>
      </c>
      <c r="AA58" s="214">
        <f t="shared" si="5"/>
        <v>25.4</v>
      </c>
      <c r="AB58" s="214">
        <f t="shared" si="6"/>
        <v>7.62</v>
      </c>
    </row>
    <row r="59" spans="1:28">
      <c r="A59" s="230">
        <v>33</v>
      </c>
      <c r="B59" s="230">
        <v>33</v>
      </c>
      <c r="C59" s="230" t="s">
        <v>189</v>
      </c>
      <c r="D59" s="230"/>
      <c r="E59" s="230"/>
      <c r="F59" s="230"/>
      <c r="G59" s="230">
        <v>19</v>
      </c>
      <c r="H59" s="230"/>
      <c r="I59" s="230"/>
      <c r="J59" s="230">
        <v>19</v>
      </c>
      <c r="K59" s="230"/>
      <c r="L59" s="230"/>
      <c r="M59" s="230"/>
      <c r="N59" s="230"/>
      <c r="O59" s="230"/>
      <c r="P59" s="230">
        <v>1</v>
      </c>
      <c r="Q59" s="230">
        <v>19</v>
      </c>
      <c r="R59" s="222">
        <f t="shared" si="1"/>
        <v>2.2800000000000002</v>
      </c>
      <c r="S59" s="222">
        <f t="shared" si="2"/>
        <v>3.08</v>
      </c>
      <c r="T59" s="231">
        <v>2.2800000000000002</v>
      </c>
      <c r="U59" s="231">
        <v>3.08</v>
      </c>
      <c r="V59" s="221" t="str">
        <f t="shared" si="3"/>
        <v>53.34*43.18*7.62</v>
      </c>
      <c r="W59" s="223">
        <v>21</v>
      </c>
      <c r="X59" s="223">
        <v>17</v>
      </c>
      <c r="Y59" s="223">
        <v>3</v>
      </c>
      <c r="Z59" s="214">
        <f t="shared" si="4"/>
        <v>53.34</v>
      </c>
      <c r="AA59" s="214">
        <f t="shared" si="5"/>
        <v>43.18</v>
      </c>
      <c r="AB59" s="214">
        <f t="shared" si="6"/>
        <v>7.62</v>
      </c>
    </row>
    <row r="60" spans="1:28">
      <c r="A60" s="230">
        <v>34</v>
      </c>
      <c r="B60" s="230">
        <v>34</v>
      </c>
      <c r="C60" s="230" t="s">
        <v>189</v>
      </c>
      <c r="D60" s="230"/>
      <c r="E60" s="230"/>
      <c r="F60" s="230"/>
      <c r="G60" s="230">
        <v>18</v>
      </c>
      <c r="H60" s="230"/>
      <c r="I60" s="230"/>
      <c r="J60" s="230"/>
      <c r="K60" s="230">
        <v>18</v>
      </c>
      <c r="L60" s="230"/>
      <c r="M60" s="230"/>
      <c r="N60" s="230"/>
      <c r="O60" s="230"/>
      <c r="P60" s="230">
        <v>1</v>
      </c>
      <c r="Q60" s="230">
        <v>18</v>
      </c>
      <c r="R60" s="222">
        <f t="shared" si="1"/>
        <v>2.4400000000000004</v>
      </c>
      <c r="S60" s="222">
        <f t="shared" si="2"/>
        <v>3.24</v>
      </c>
      <c r="T60" s="231">
        <v>2.4400000000000004</v>
      </c>
      <c r="U60" s="231">
        <v>3.24</v>
      </c>
      <c r="V60" s="221" t="str">
        <f t="shared" si="3"/>
        <v>50.8*43.18*7.62</v>
      </c>
      <c r="W60" s="223">
        <v>20</v>
      </c>
      <c r="X60" s="223">
        <v>17</v>
      </c>
      <c r="Y60" s="223">
        <v>3</v>
      </c>
      <c r="Z60" s="214">
        <f t="shared" si="4"/>
        <v>50.8</v>
      </c>
      <c r="AA60" s="214">
        <f t="shared" si="5"/>
        <v>43.18</v>
      </c>
      <c r="AB60" s="214">
        <f t="shared" si="6"/>
        <v>7.62</v>
      </c>
    </row>
    <row r="61" spans="1:28">
      <c r="A61" s="230">
        <v>35</v>
      </c>
      <c r="B61" s="230">
        <v>35</v>
      </c>
      <c r="C61" s="230" t="s">
        <v>189</v>
      </c>
      <c r="D61" s="230"/>
      <c r="E61" s="230"/>
      <c r="F61" s="230"/>
      <c r="G61" s="230">
        <v>14</v>
      </c>
      <c r="H61" s="230"/>
      <c r="I61" s="230"/>
      <c r="J61" s="230"/>
      <c r="K61" s="230"/>
      <c r="L61" s="230">
        <v>14</v>
      </c>
      <c r="M61" s="230"/>
      <c r="N61" s="230"/>
      <c r="O61" s="230"/>
      <c r="P61" s="230">
        <v>1</v>
      </c>
      <c r="Q61" s="230">
        <v>14</v>
      </c>
      <c r="R61" s="222">
        <f t="shared" si="1"/>
        <v>2.06</v>
      </c>
      <c r="S61" s="222">
        <f t="shared" si="2"/>
        <v>2.54</v>
      </c>
      <c r="T61" s="231">
        <v>2.06</v>
      </c>
      <c r="U61" s="231">
        <v>2.54</v>
      </c>
      <c r="V61" s="221" t="str">
        <f t="shared" si="3"/>
        <v>43.18*25.4*11.43</v>
      </c>
      <c r="W61" s="223">
        <v>17</v>
      </c>
      <c r="X61" s="223">
        <v>10</v>
      </c>
      <c r="Y61" s="223">
        <v>4.5</v>
      </c>
      <c r="Z61" s="214">
        <f t="shared" si="4"/>
        <v>43.18</v>
      </c>
      <c r="AA61" s="214">
        <f t="shared" si="5"/>
        <v>25.4</v>
      </c>
      <c r="AB61" s="214">
        <f t="shared" si="6"/>
        <v>11.43</v>
      </c>
    </row>
    <row r="62" spans="1:28">
      <c r="A62" s="230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>
        <v>14</v>
      </c>
      <c r="M62" s="230"/>
      <c r="N62" s="230"/>
      <c r="O62" s="230"/>
      <c r="P62" s="230"/>
      <c r="Q62" s="230"/>
      <c r="R62" s="222"/>
      <c r="S62" s="222"/>
      <c r="T62" s="231"/>
      <c r="U62" s="231"/>
      <c r="V62" s="221"/>
      <c r="W62" s="223"/>
      <c r="X62" s="223"/>
      <c r="Y62" s="223"/>
    </row>
    <row r="63" spans="1:28">
      <c r="A63" s="230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22"/>
      <c r="S63" s="222"/>
      <c r="T63" s="231"/>
      <c r="U63" s="231"/>
      <c r="V63" s="221"/>
      <c r="W63" s="223"/>
      <c r="X63" s="223"/>
      <c r="Y63" s="223"/>
    </row>
    <row r="64" spans="1:28">
      <c r="A64" s="230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22"/>
      <c r="S64" s="222"/>
      <c r="T64" s="231"/>
      <c r="U64" s="231"/>
      <c r="V64" s="230"/>
    </row>
    <row r="65" spans="1:24" s="216" customFormat="1" ht="14.25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>
        <f>SUM(L19:L64)</f>
        <v>264</v>
      </c>
      <c r="M65" s="232">
        <f>SUM(M19:M64)</f>
        <v>0</v>
      </c>
      <c r="N65" s="232">
        <f>SUM(N19:N64)</f>
        <v>0</v>
      </c>
      <c r="O65" s="232">
        <f>SUM(O19:O64)</f>
        <v>0</v>
      </c>
      <c r="P65" s="232">
        <f>SUM(P19:P64)</f>
        <v>33</v>
      </c>
      <c r="Q65" s="232">
        <f>SUM(Q19:Q64)</f>
        <v>696</v>
      </c>
      <c r="R65" s="232"/>
      <c r="S65" s="305"/>
      <c r="T65" s="232">
        <f>SUM(T19:T64)</f>
        <v>78.02</v>
      </c>
      <c r="U65" s="305">
        <f>SUM(U19:U64)</f>
        <v>103.44000000000001</v>
      </c>
      <c r="V65" s="232"/>
    </row>
    <row r="66" spans="1:24" s="216" customFormat="1" ht="14.25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</row>
    <row r="67" spans="1:24">
      <c r="A67" s="223"/>
      <c r="B67" s="223"/>
      <c r="C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4"/>
      <c r="S67" s="224"/>
      <c r="T67" s="224"/>
      <c r="U67" s="224"/>
      <c r="V67" s="215"/>
    </row>
    <row r="68" spans="1:24">
      <c r="C68" s="234" t="s">
        <v>191</v>
      </c>
      <c r="D68" s="234" t="s">
        <v>181</v>
      </c>
      <c r="E68" s="234" t="s">
        <v>192</v>
      </c>
      <c r="F68" s="234" t="s">
        <v>193</v>
      </c>
      <c r="G68" s="234" t="s">
        <v>59</v>
      </c>
      <c r="H68" s="234" t="s">
        <v>27</v>
      </c>
      <c r="I68" s="234" t="s">
        <v>28</v>
      </c>
      <c r="J68" s="234" t="s">
        <v>29</v>
      </c>
      <c r="K68" s="234" t="s">
        <v>30</v>
      </c>
      <c r="L68" s="234"/>
      <c r="M68" s="234"/>
      <c r="N68" s="234"/>
      <c r="O68" s="234"/>
      <c r="P68" s="219" t="s">
        <v>31</v>
      </c>
      <c r="Q68" s="219" t="s">
        <v>32</v>
      </c>
    </row>
    <row r="69" spans="1:24">
      <c r="C69" s="235" t="s">
        <v>210</v>
      </c>
      <c r="D69" s="235" t="s">
        <v>222</v>
      </c>
      <c r="E69" s="235" t="s">
        <v>220</v>
      </c>
      <c r="F69" s="235" t="s">
        <v>232</v>
      </c>
      <c r="G69" s="230">
        <v>8</v>
      </c>
      <c r="H69" s="230">
        <v>25</v>
      </c>
      <c r="I69" s="230">
        <v>32</v>
      </c>
      <c r="J69" s="230">
        <v>31</v>
      </c>
      <c r="K69" s="230">
        <v>24</v>
      </c>
      <c r="L69" s="234"/>
      <c r="M69" s="234"/>
      <c r="N69" s="234"/>
      <c r="O69" s="234"/>
      <c r="P69" s="235">
        <v>5</v>
      </c>
      <c r="Q69" s="235">
        <v>120</v>
      </c>
      <c r="W69" s="214">
        <f>+SUM(G69:K69)</f>
        <v>120</v>
      </c>
      <c r="X69" s="214">
        <f>+Q69-W69</f>
        <v>0</v>
      </c>
    </row>
    <row r="70" spans="1:24">
      <c r="C70" s="235" t="s">
        <v>210</v>
      </c>
      <c r="D70" s="235" t="s">
        <v>222</v>
      </c>
      <c r="E70" s="235" t="s">
        <v>224</v>
      </c>
      <c r="F70" s="235" t="s">
        <v>262</v>
      </c>
      <c r="G70" s="230">
        <v>8</v>
      </c>
      <c r="H70" s="230">
        <v>25</v>
      </c>
      <c r="I70" s="230">
        <v>32</v>
      </c>
      <c r="J70" s="230">
        <v>31</v>
      </c>
      <c r="K70" s="230">
        <v>24</v>
      </c>
      <c r="L70" s="234"/>
      <c r="M70" s="234"/>
      <c r="N70" s="234"/>
      <c r="O70" s="234"/>
      <c r="P70" s="235">
        <v>5</v>
      </c>
      <c r="Q70" s="235">
        <v>120</v>
      </c>
    </row>
    <row r="71" spans="1:24">
      <c r="C71" s="235" t="s">
        <v>210</v>
      </c>
      <c r="D71" s="235" t="s">
        <v>222</v>
      </c>
      <c r="E71" s="235" t="s">
        <v>223</v>
      </c>
      <c r="F71" s="235" t="s">
        <v>258</v>
      </c>
      <c r="G71" s="230">
        <v>8</v>
      </c>
      <c r="H71" s="230">
        <v>25</v>
      </c>
      <c r="I71" s="230">
        <v>32</v>
      </c>
      <c r="J71" s="230">
        <v>31</v>
      </c>
      <c r="K71" s="230">
        <v>24</v>
      </c>
      <c r="L71" s="234"/>
      <c r="M71" s="234"/>
      <c r="N71" s="234"/>
      <c r="O71" s="234"/>
      <c r="P71" s="235">
        <v>5</v>
      </c>
      <c r="Q71" s="235">
        <v>120</v>
      </c>
    </row>
    <row r="72" spans="1:24">
      <c r="C72" s="235" t="s">
        <v>210</v>
      </c>
      <c r="D72" s="235" t="s">
        <v>225</v>
      </c>
      <c r="E72" s="235" t="s">
        <v>220</v>
      </c>
      <c r="F72" s="235" t="s">
        <v>232</v>
      </c>
      <c r="G72" s="230">
        <v>9</v>
      </c>
      <c r="H72" s="230">
        <v>19</v>
      </c>
      <c r="I72" s="230">
        <v>26</v>
      </c>
      <c r="J72" s="230">
        <v>26</v>
      </c>
      <c r="K72" s="230">
        <v>16</v>
      </c>
      <c r="L72" s="234"/>
      <c r="M72" s="234"/>
      <c r="N72" s="234"/>
      <c r="O72" s="234"/>
      <c r="P72" s="235">
        <v>5</v>
      </c>
      <c r="Q72" s="235">
        <v>96</v>
      </c>
    </row>
    <row r="73" spans="1:24">
      <c r="C73" s="235" t="s">
        <v>210</v>
      </c>
      <c r="D73" s="235" t="s">
        <v>225</v>
      </c>
      <c r="E73" s="235" t="s">
        <v>223</v>
      </c>
      <c r="F73" s="235" t="s">
        <v>258</v>
      </c>
      <c r="G73" s="230">
        <v>9</v>
      </c>
      <c r="H73" s="230">
        <v>19</v>
      </c>
      <c r="I73" s="230">
        <v>26</v>
      </c>
      <c r="J73" s="230">
        <v>26</v>
      </c>
      <c r="K73" s="230">
        <v>16</v>
      </c>
      <c r="L73" s="234"/>
      <c r="M73" s="234"/>
      <c r="N73" s="234"/>
      <c r="O73" s="234"/>
      <c r="P73" s="235">
        <v>5</v>
      </c>
      <c r="Q73" s="235">
        <v>96</v>
      </c>
    </row>
    <row r="74" spans="1:24">
      <c r="C74" s="235" t="s">
        <v>210</v>
      </c>
      <c r="D74" s="235" t="s">
        <v>226</v>
      </c>
      <c r="E74" s="235" t="s">
        <v>224</v>
      </c>
      <c r="F74" s="235" t="s">
        <v>262</v>
      </c>
      <c r="G74" s="230">
        <v>7</v>
      </c>
      <c r="H74" s="230">
        <v>14</v>
      </c>
      <c r="I74" s="230">
        <v>19</v>
      </c>
      <c r="J74" s="230">
        <v>18</v>
      </c>
      <c r="K74" s="230">
        <v>14</v>
      </c>
      <c r="L74" s="234"/>
      <c r="M74" s="234"/>
      <c r="N74" s="234"/>
      <c r="O74" s="234"/>
      <c r="P74" s="235">
        <v>4</v>
      </c>
      <c r="Q74" s="235">
        <v>72</v>
      </c>
    </row>
    <row r="75" spans="1:24">
      <c r="C75" s="235" t="s">
        <v>210</v>
      </c>
      <c r="D75" s="235" t="s">
        <v>226</v>
      </c>
      <c r="E75" s="235" t="s">
        <v>223</v>
      </c>
      <c r="F75" s="235" t="s">
        <v>258</v>
      </c>
      <c r="G75" s="230">
        <v>7</v>
      </c>
      <c r="H75" s="230">
        <v>14</v>
      </c>
      <c r="I75" s="230">
        <v>19</v>
      </c>
      <c r="J75" s="230">
        <v>18</v>
      </c>
      <c r="K75" s="230">
        <v>14</v>
      </c>
      <c r="L75" s="234"/>
      <c r="M75" s="234"/>
      <c r="N75" s="234"/>
      <c r="O75" s="234"/>
      <c r="P75" s="235">
        <v>4</v>
      </c>
      <c r="Q75" s="235">
        <v>72</v>
      </c>
    </row>
    <row r="76" spans="1:24">
      <c r="C76" s="235"/>
      <c r="D76" s="235"/>
      <c r="E76" s="235"/>
      <c r="F76" s="235"/>
      <c r="G76" s="230"/>
      <c r="H76" s="230"/>
      <c r="I76" s="230"/>
      <c r="J76" s="230"/>
      <c r="K76" s="230"/>
      <c r="L76" s="234"/>
      <c r="M76" s="234"/>
      <c r="N76" s="234"/>
      <c r="O76" s="234"/>
      <c r="P76" s="235"/>
      <c r="Q76" s="235"/>
    </row>
    <row r="77" spans="1:24"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</row>
    <row r="78" spans="1:24">
      <c r="C78" s="215"/>
      <c r="D78" s="215"/>
      <c r="E78" s="215"/>
      <c r="F78" s="215"/>
      <c r="G78" s="215"/>
      <c r="H78" s="215"/>
      <c r="I78" s="215"/>
      <c r="J78" s="218" t="s">
        <v>33</v>
      </c>
      <c r="K78" s="215"/>
      <c r="L78" s="218"/>
      <c r="M78" s="218"/>
      <c r="N78" s="218"/>
      <c r="O78" s="218"/>
      <c r="P78" s="218">
        <f>SUM(P69:P76)</f>
        <v>33</v>
      </c>
      <c r="Q78" s="218">
        <f>SUM(Q69:Q76)</f>
        <v>696</v>
      </c>
    </row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T67" xr:uid="{00000000-0009-0000-0000-000004000000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48402777800000002" bottom="0.48402777800000002" header="0.51180555555555496" footer="0.51180555555555496"/>
  <pageSetup scale="58" fitToHeight="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9720-E7E8-4F2B-B342-8F74B27DBB1F}">
  <sheetPr>
    <pageSetUpPr fitToPage="1"/>
  </sheetPr>
  <dimension ref="A1:CG149"/>
  <sheetViews>
    <sheetView view="pageBreakPreview" topLeftCell="A54" zoomScale="70" zoomScaleNormal="70" zoomScaleSheetLayoutView="70" workbookViewId="0">
      <selection activeCell="R76" sqref="R76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0.2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210</v>
      </c>
      <c r="G13" s="214" t="s">
        <v>176</v>
      </c>
    </row>
    <row r="14" spans="1:85">
      <c r="A14" s="291" t="s">
        <v>177</v>
      </c>
      <c r="B14" s="291"/>
      <c r="D14" s="214" t="str">
        <f>+B13</f>
        <v>EV154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>
        <v>4</v>
      </c>
      <c r="M18" s="219">
        <v>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21">
        <v>1</v>
      </c>
      <c r="B19" s="221">
        <v>1</v>
      </c>
      <c r="C19" s="221"/>
      <c r="D19" s="221" t="s">
        <v>222</v>
      </c>
      <c r="E19" s="221" t="s">
        <v>231</v>
      </c>
      <c r="F19" s="221" t="s">
        <v>232</v>
      </c>
      <c r="G19" s="221">
        <v>8</v>
      </c>
      <c r="H19" s="221">
        <v>8</v>
      </c>
      <c r="I19" s="221"/>
      <c r="J19" s="221"/>
      <c r="K19" s="221"/>
      <c r="L19" s="221"/>
      <c r="M19" s="221"/>
      <c r="N19" s="221"/>
      <c r="O19" s="221"/>
      <c r="P19" s="221">
        <v>1</v>
      </c>
      <c r="Q19" s="221">
        <v>8</v>
      </c>
      <c r="R19" s="222">
        <f>+T19/P19</f>
        <v>0.7</v>
      </c>
      <c r="S19" s="222">
        <f>+U19/P19</f>
        <v>1</v>
      </c>
      <c r="T19" s="222">
        <v>0.7</v>
      </c>
      <c r="U19" s="222">
        <v>1</v>
      </c>
      <c r="V19" s="221" t="str">
        <f>Z19&amp;"*"&amp;AA19&amp;"*"&amp;AB19</f>
        <v>25.4*22.86*8.89</v>
      </c>
      <c r="W19" s="223">
        <v>10</v>
      </c>
      <c r="X19" s="223">
        <v>9</v>
      </c>
      <c r="Y19" s="223">
        <v>3.5</v>
      </c>
      <c r="Z19" s="214">
        <f>+W19*2.54</f>
        <v>25.4</v>
      </c>
      <c r="AA19" s="214">
        <f t="shared" ref="AA19:AB34" si="0">+X19*2.54</f>
        <v>22.86</v>
      </c>
      <c r="AB19" s="214">
        <f t="shared" si="0"/>
        <v>8.89</v>
      </c>
    </row>
    <row r="20" spans="1:28">
      <c r="A20" s="221">
        <v>2</v>
      </c>
      <c r="B20" s="221">
        <v>2</v>
      </c>
      <c r="C20" s="221"/>
      <c r="D20" s="221"/>
      <c r="E20" s="221"/>
      <c r="F20" s="221"/>
      <c r="G20" s="221">
        <v>25</v>
      </c>
      <c r="H20" s="221"/>
      <c r="I20" s="221">
        <v>25</v>
      </c>
      <c r="J20" s="221"/>
      <c r="K20" s="221"/>
      <c r="L20" s="221"/>
      <c r="M20" s="221"/>
      <c r="N20" s="221"/>
      <c r="O20" s="221"/>
      <c r="P20" s="221">
        <v>1</v>
      </c>
      <c r="Q20" s="221">
        <v>25</v>
      </c>
      <c r="R20" s="222">
        <f t="shared" ref="R20:R61" si="1">+T20/P20</f>
        <v>2.42</v>
      </c>
      <c r="S20" s="222">
        <f t="shared" ref="S20:S61" si="2">+U20/P20</f>
        <v>3.38</v>
      </c>
      <c r="T20" s="222">
        <v>2.42</v>
      </c>
      <c r="U20" s="222">
        <v>3.38</v>
      </c>
      <c r="V20" s="221" t="str">
        <f t="shared" ref="V20:V61" si="3">Z20&amp;"*"&amp;AA20&amp;"*"&amp;AB20</f>
        <v>50.8*43.18*8.89</v>
      </c>
      <c r="W20" s="223">
        <v>20</v>
      </c>
      <c r="X20" s="223">
        <v>17</v>
      </c>
      <c r="Y20" s="223">
        <v>3.5</v>
      </c>
      <c r="Z20" s="214">
        <f t="shared" ref="Z20:AB61" si="4">+W20*2.54</f>
        <v>50.8</v>
      </c>
      <c r="AA20" s="214">
        <f t="shared" si="0"/>
        <v>43.18</v>
      </c>
      <c r="AB20" s="214">
        <f t="shared" si="0"/>
        <v>8.89</v>
      </c>
    </row>
    <row r="21" spans="1:28">
      <c r="A21" s="230">
        <v>3</v>
      </c>
      <c r="B21" s="230">
        <v>3</v>
      </c>
      <c r="C21" s="230"/>
      <c r="D21" s="230"/>
      <c r="E21" s="230"/>
      <c r="F21" s="230"/>
      <c r="G21" s="230">
        <v>32</v>
      </c>
      <c r="H21" s="230"/>
      <c r="I21" s="230"/>
      <c r="J21" s="230">
        <v>32</v>
      </c>
      <c r="K21" s="230"/>
      <c r="L21" s="230"/>
      <c r="M21" s="230"/>
      <c r="N21" s="230"/>
      <c r="O21" s="230"/>
      <c r="P21" s="230">
        <v>1</v>
      </c>
      <c r="Q21" s="230">
        <v>32</v>
      </c>
      <c r="R21" s="222">
        <f t="shared" si="1"/>
        <v>3.1599999999999997</v>
      </c>
      <c r="S21" s="222">
        <f t="shared" si="2"/>
        <v>4.1399999999999997</v>
      </c>
      <c r="T21" s="231">
        <v>3.1599999999999997</v>
      </c>
      <c r="U21" s="231">
        <v>4.1399999999999997</v>
      </c>
      <c r="V21" s="221" t="str">
        <f t="shared" si="3"/>
        <v>50.8*43.18*10.16</v>
      </c>
      <c r="W21" s="223">
        <v>20</v>
      </c>
      <c r="X21" s="223">
        <v>17</v>
      </c>
      <c r="Y21" s="223">
        <v>4</v>
      </c>
      <c r="Z21" s="214">
        <f t="shared" si="4"/>
        <v>50.8</v>
      </c>
      <c r="AA21" s="214">
        <f t="shared" si="0"/>
        <v>43.18</v>
      </c>
      <c r="AB21" s="214">
        <f t="shared" si="0"/>
        <v>10.16</v>
      </c>
    </row>
    <row r="22" spans="1:28">
      <c r="A22" s="230">
        <v>4</v>
      </c>
      <c r="B22" s="230">
        <v>4</v>
      </c>
      <c r="C22" s="230"/>
      <c r="D22" s="230"/>
      <c r="E22" s="230"/>
      <c r="F22" s="230"/>
      <c r="G22" s="230">
        <v>31</v>
      </c>
      <c r="H22" s="230"/>
      <c r="I22" s="230"/>
      <c r="J22" s="230"/>
      <c r="K22" s="230">
        <v>31</v>
      </c>
      <c r="L22" s="230"/>
      <c r="M22" s="230"/>
      <c r="N22" s="230"/>
      <c r="O22" s="230"/>
      <c r="P22" s="230">
        <v>1</v>
      </c>
      <c r="Q22" s="230">
        <v>31</v>
      </c>
      <c r="R22" s="222">
        <f t="shared" si="1"/>
        <v>3.7</v>
      </c>
      <c r="S22" s="222">
        <f t="shared" si="2"/>
        <v>4.7</v>
      </c>
      <c r="T22" s="231">
        <v>3.7</v>
      </c>
      <c r="U22" s="231">
        <v>4.7</v>
      </c>
      <c r="V22" s="221" t="str">
        <f t="shared" si="3"/>
        <v>50.8*43.18*11.43</v>
      </c>
      <c r="W22" s="223">
        <v>20</v>
      </c>
      <c r="X22" s="223">
        <v>17</v>
      </c>
      <c r="Y22" s="223">
        <v>4.5</v>
      </c>
      <c r="Z22" s="214">
        <f t="shared" si="4"/>
        <v>50.8</v>
      </c>
      <c r="AA22" s="214">
        <f t="shared" si="0"/>
        <v>43.18</v>
      </c>
      <c r="AB22" s="214">
        <f t="shared" si="0"/>
        <v>11.43</v>
      </c>
    </row>
    <row r="23" spans="1:28">
      <c r="A23" s="230">
        <v>5</v>
      </c>
      <c r="B23" s="230">
        <v>5</v>
      </c>
      <c r="C23" s="230"/>
      <c r="D23" s="230"/>
      <c r="E23" s="230"/>
      <c r="F23" s="230"/>
      <c r="G23" s="230">
        <v>24</v>
      </c>
      <c r="H23" s="230"/>
      <c r="I23" s="230"/>
      <c r="J23" s="230"/>
      <c r="K23" s="230"/>
      <c r="L23" s="230">
        <v>24</v>
      </c>
      <c r="M23" s="230"/>
      <c r="N23" s="230"/>
      <c r="O23" s="230"/>
      <c r="P23" s="230">
        <v>1</v>
      </c>
      <c r="Q23" s="230">
        <v>24</v>
      </c>
      <c r="R23" s="222">
        <f t="shared" si="1"/>
        <v>2.98</v>
      </c>
      <c r="S23" s="222">
        <f t="shared" si="2"/>
        <v>3.96</v>
      </c>
      <c r="T23" s="231">
        <v>2.98</v>
      </c>
      <c r="U23" s="231">
        <v>3.96</v>
      </c>
      <c r="V23" s="221" t="str">
        <f t="shared" si="3"/>
        <v>50.8*43.18*10.16</v>
      </c>
      <c r="W23" s="223">
        <v>20</v>
      </c>
      <c r="X23" s="223">
        <v>17</v>
      </c>
      <c r="Y23" s="223">
        <v>4</v>
      </c>
      <c r="Z23" s="214">
        <f t="shared" si="4"/>
        <v>50.8</v>
      </c>
      <c r="AA23" s="214">
        <f t="shared" si="0"/>
        <v>43.18</v>
      </c>
      <c r="AB23" s="214">
        <f t="shared" si="0"/>
        <v>10.16</v>
      </c>
    </row>
    <row r="24" spans="1:28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>
        <v>24</v>
      </c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/>
      <c r="X24" s="223"/>
      <c r="Y24" s="223"/>
      <c r="Z24" s="214">
        <f t="shared" si="4"/>
        <v>0</v>
      </c>
      <c r="AA24" s="214">
        <f t="shared" si="0"/>
        <v>0</v>
      </c>
      <c r="AB24" s="214">
        <f t="shared" si="0"/>
        <v>0</v>
      </c>
    </row>
    <row r="25" spans="1:28">
      <c r="A25" s="230">
        <v>6</v>
      </c>
      <c r="B25" s="230">
        <v>6</v>
      </c>
      <c r="C25" s="230"/>
      <c r="D25" s="230" t="s">
        <v>222</v>
      </c>
      <c r="E25" s="230" t="s">
        <v>261</v>
      </c>
      <c r="F25" s="230" t="s">
        <v>262</v>
      </c>
      <c r="G25" s="230">
        <v>8</v>
      </c>
      <c r="H25" s="230">
        <v>8</v>
      </c>
      <c r="I25" s="230"/>
      <c r="J25" s="230"/>
      <c r="K25" s="230"/>
      <c r="L25" s="230"/>
      <c r="M25" s="230"/>
      <c r="N25" s="230"/>
      <c r="O25" s="230"/>
      <c r="P25" s="230">
        <v>1</v>
      </c>
      <c r="Q25" s="230">
        <v>8</v>
      </c>
      <c r="R25" s="222">
        <f t="shared" si="1"/>
        <v>0.7</v>
      </c>
      <c r="S25" s="222">
        <f t="shared" si="2"/>
        <v>1</v>
      </c>
      <c r="T25" s="231">
        <v>0.7</v>
      </c>
      <c r="U25" s="231">
        <v>1</v>
      </c>
      <c r="V25" s="221" t="str">
        <f t="shared" si="3"/>
        <v>25.4*22.86*8.89</v>
      </c>
      <c r="W25" s="223">
        <v>10</v>
      </c>
      <c r="X25" s="223">
        <v>9</v>
      </c>
      <c r="Y25" s="223">
        <v>3.5</v>
      </c>
      <c r="Z25" s="214">
        <f t="shared" si="4"/>
        <v>25.4</v>
      </c>
      <c r="AA25" s="214">
        <f t="shared" si="0"/>
        <v>22.86</v>
      </c>
      <c r="AB25" s="214">
        <f t="shared" si="0"/>
        <v>8.89</v>
      </c>
    </row>
    <row r="26" spans="1:28">
      <c r="A26" s="230">
        <v>7</v>
      </c>
      <c r="B26" s="230">
        <v>7</v>
      </c>
      <c r="C26" s="230"/>
      <c r="D26" s="230"/>
      <c r="E26" s="230"/>
      <c r="F26" s="230"/>
      <c r="G26" s="230">
        <v>25</v>
      </c>
      <c r="H26" s="230"/>
      <c r="I26" s="230">
        <v>25</v>
      </c>
      <c r="J26" s="230"/>
      <c r="K26" s="230"/>
      <c r="L26" s="230"/>
      <c r="M26" s="230"/>
      <c r="N26" s="230"/>
      <c r="O26" s="230"/>
      <c r="P26" s="230">
        <v>1</v>
      </c>
      <c r="Q26" s="230">
        <v>25</v>
      </c>
      <c r="R26" s="222">
        <f t="shared" si="1"/>
        <v>2.42</v>
      </c>
      <c r="S26" s="222">
        <f t="shared" si="2"/>
        <v>3.38</v>
      </c>
      <c r="T26" s="231">
        <v>2.42</v>
      </c>
      <c r="U26" s="231">
        <v>3.38</v>
      </c>
      <c r="V26" s="221" t="str">
        <f t="shared" si="3"/>
        <v>50.8*43.18*8.89</v>
      </c>
      <c r="W26" s="223">
        <v>20</v>
      </c>
      <c r="X26" s="223">
        <v>17</v>
      </c>
      <c r="Y26" s="223">
        <v>3.5</v>
      </c>
      <c r="Z26" s="214">
        <f t="shared" si="4"/>
        <v>50.8</v>
      </c>
      <c r="AA26" s="214">
        <f t="shared" si="0"/>
        <v>43.18</v>
      </c>
      <c r="AB26" s="214">
        <f t="shared" si="0"/>
        <v>8.89</v>
      </c>
    </row>
    <row r="27" spans="1:28">
      <c r="A27" s="230">
        <v>8</v>
      </c>
      <c r="B27" s="230">
        <v>8</v>
      </c>
      <c r="C27" s="230"/>
      <c r="D27" s="230"/>
      <c r="E27" s="230"/>
      <c r="F27" s="230"/>
      <c r="G27" s="230">
        <v>32</v>
      </c>
      <c r="H27" s="230"/>
      <c r="I27" s="230"/>
      <c r="J27" s="230">
        <v>32</v>
      </c>
      <c r="K27" s="230"/>
      <c r="L27" s="230"/>
      <c r="M27" s="230"/>
      <c r="N27" s="230"/>
      <c r="O27" s="230"/>
      <c r="P27" s="230">
        <v>1</v>
      </c>
      <c r="Q27" s="230">
        <v>32</v>
      </c>
      <c r="R27" s="222">
        <f t="shared" si="1"/>
        <v>3.1599999999999997</v>
      </c>
      <c r="S27" s="222">
        <f t="shared" si="2"/>
        <v>4.1399999999999997</v>
      </c>
      <c r="T27" s="231">
        <v>3.1599999999999997</v>
      </c>
      <c r="U27" s="231">
        <v>4.1399999999999997</v>
      </c>
      <c r="V27" s="221" t="str">
        <f t="shared" si="3"/>
        <v>50.8*43.18*10.16</v>
      </c>
      <c r="W27" s="223">
        <v>20</v>
      </c>
      <c r="X27" s="223">
        <v>17</v>
      </c>
      <c r="Y27" s="223">
        <v>4</v>
      </c>
      <c r="Z27" s="214">
        <f t="shared" si="4"/>
        <v>50.8</v>
      </c>
      <c r="AA27" s="214">
        <f t="shared" si="0"/>
        <v>43.18</v>
      </c>
      <c r="AB27" s="214">
        <f t="shared" si="0"/>
        <v>10.16</v>
      </c>
    </row>
    <row r="28" spans="1:28">
      <c r="A28" s="230">
        <v>9</v>
      </c>
      <c r="B28" s="230">
        <v>9</v>
      </c>
      <c r="C28" s="230"/>
      <c r="D28" s="230"/>
      <c r="E28" s="230"/>
      <c r="F28" s="230"/>
      <c r="G28" s="230">
        <v>31</v>
      </c>
      <c r="H28" s="230"/>
      <c r="I28" s="230"/>
      <c r="J28" s="230"/>
      <c r="K28" s="230">
        <v>31</v>
      </c>
      <c r="L28" s="230"/>
      <c r="M28" s="230"/>
      <c r="N28" s="230"/>
      <c r="O28" s="230"/>
      <c r="P28" s="230">
        <v>1</v>
      </c>
      <c r="Q28" s="230">
        <v>31</v>
      </c>
      <c r="R28" s="222">
        <f t="shared" si="1"/>
        <v>3.7</v>
      </c>
      <c r="S28" s="222">
        <f t="shared" si="2"/>
        <v>4.7</v>
      </c>
      <c r="T28" s="231">
        <v>3.7</v>
      </c>
      <c r="U28" s="231">
        <v>4.7</v>
      </c>
      <c r="V28" s="221" t="str">
        <f t="shared" si="3"/>
        <v>50.8*43.18*11.43</v>
      </c>
      <c r="W28" s="223">
        <v>20</v>
      </c>
      <c r="X28" s="223">
        <v>17</v>
      </c>
      <c r="Y28" s="223">
        <v>4.5</v>
      </c>
      <c r="Z28" s="214">
        <f t="shared" si="4"/>
        <v>50.8</v>
      </c>
      <c r="AA28" s="214">
        <f t="shared" si="0"/>
        <v>43.18</v>
      </c>
      <c r="AB28" s="214">
        <f t="shared" si="0"/>
        <v>11.43</v>
      </c>
    </row>
    <row r="29" spans="1:28">
      <c r="A29" s="230">
        <v>10</v>
      </c>
      <c r="B29" s="230">
        <v>10</v>
      </c>
      <c r="C29" s="230"/>
      <c r="D29" s="230"/>
      <c r="E29" s="230"/>
      <c r="F29" s="230"/>
      <c r="G29" s="230">
        <v>24</v>
      </c>
      <c r="H29" s="230"/>
      <c r="I29" s="230"/>
      <c r="J29" s="230"/>
      <c r="K29" s="230"/>
      <c r="L29" s="230">
        <v>24</v>
      </c>
      <c r="M29" s="230"/>
      <c r="N29" s="230"/>
      <c r="O29" s="230"/>
      <c r="P29" s="230">
        <v>1</v>
      </c>
      <c r="Q29" s="230">
        <v>24</v>
      </c>
      <c r="R29" s="222">
        <f t="shared" si="1"/>
        <v>2.98</v>
      </c>
      <c r="S29" s="222">
        <f t="shared" si="2"/>
        <v>3.96</v>
      </c>
      <c r="T29" s="231">
        <v>2.98</v>
      </c>
      <c r="U29" s="231">
        <v>3.96</v>
      </c>
      <c r="V29" s="221" t="str">
        <f t="shared" si="3"/>
        <v>50.8*43.18*10.16</v>
      </c>
      <c r="W29" s="223">
        <v>20</v>
      </c>
      <c r="X29" s="223">
        <v>17</v>
      </c>
      <c r="Y29" s="223">
        <v>4</v>
      </c>
      <c r="Z29" s="214">
        <f t="shared" si="4"/>
        <v>50.8</v>
      </c>
      <c r="AA29" s="214">
        <f t="shared" si="0"/>
        <v>43.18</v>
      </c>
      <c r="AB29" s="214">
        <f t="shared" si="0"/>
        <v>10.16</v>
      </c>
    </row>
    <row r="30" spans="1:28">
      <c r="A30" s="230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>
        <v>24</v>
      </c>
      <c r="M30" s="230"/>
      <c r="N30" s="230"/>
      <c r="O30" s="230"/>
      <c r="P30" s="230"/>
      <c r="Q30" s="230"/>
      <c r="R30" s="222"/>
      <c r="S30" s="222"/>
      <c r="T30" s="231"/>
      <c r="U30" s="231"/>
      <c r="V30" s="221"/>
      <c r="W30" s="223"/>
      <c r="X30" s="223"/>
      <c r="Y30" s="223"/>
      <c r="Z30" s="214">
        <f t="shared" si="4"/>
        <v>0</v>
      </c>
      <c r="AA30" s="214">
        <f t="shared" si="0"/>
        <v>0</v>
      </c>
      <c r="AB30" s="214">
        <f t="shared" si="0"/>
        <v>0</v>
      </c>
    </row>
    <row r="31" spans="1:28">
      <c r="A31" s="230">
        <v>11</v>
      </c>
      <c r="B31" s="230">
        <v>11</v>
      </c>
      <c r="C31" s="230"/>
      <c r="D31" s="230" t="s">
        <v>222</v>
      </c>
      <c r="E31" s="230" t="s">
        <v>257</v>
      </c>
      <c r="F31" s="230" t="s">
        <v>258</v>
      </c>
      <c r="G31" s="230">
        <v>8</v>
      </c>
      <c r="H31" s="230">
        <v>8</v>
      </c>
      <c r="I31" s="230"/>
      <c r="J31" s="230"/>
      <c r="K31" s="230"/>
      <c r="L31" s="230"/>
      <c r="M31" s="230"/>
      <c r="N31" s="230"/>
      <c r="O31" s="230"/>
      <c r="P31" s="230">
        <v>1</v>
      </c>
      <c r="Q31" s="230">
        <v>8</v>
      </c>
      <c r="R31" s="222">
        <f t="shared" si="1"/>
        <v>0.7</v>
      </c>
      <c r="S31" s="222">
        <f t="shared" si="2"/>
        <v>1</v>
      </c>
      <c r="T31" s="231">
        <v>0.7</v>
      </c>
      <c r="U31" s="231">
        <v>1</v>
      </c>
      <c r="V31" s="221" t="str">
        <f t="shared" si="3"/>
        <v>25.4*22.86*8.89</v>
      </c>
      <c r="W31" s="223">
        <v>10</v>
      </c>
      <c r="X31" s="223">
        <v>9</v>
      </c>
      <c r="Y31" s="223">
        <v>3.5</v>
      </c>
      <c r="Z31" s="214">
        <f t="shared" si="4"/>
        <v>25.4</v>
      </c>
      <c r="AA31" s="214">
        <f t="shared" si="0"/>
        <v>22.86</v>
      </c>
      <c r="AB31" s="214">
        <f t="shared" si="0"/>
        <v>8.89</v>
      </c>
    </row>
    <row r="32" spans="1:28">
      <c r="A32" s="230">
        <v>12</v>
      </c>
      <c r="B32" s="230">
        <v>12</v>
      </c>
      <c r="C32" s="230"/>
      <c r="D32" s="230"/>
      <c r="E32" s="230"/>
      <c r="F32" s="230"/>
      <c r="G32" s="230">
        <v>25</v>
      </c>
      <c r="H32" s="230"/>
      <c r="I32" s="230">
        <v>25</v>
      </c>
      <c r="J32" s="230"/>
      <c r="K32" s="230"/>
      <c r="L32" s="230"/>
      <c r="M32" s="230"/>
      <c r="N32" s="230"/>
      <c r="O32" s="230"/>
      <c r="P32" s="230">
        <v>1</v>
      </c>
      <c r="Q32" s="230">
        <v>25</v>
      </c>
      <c r="R32" s="222">
        <f t="shared" si="1"/>
        <v>2.42</v>
      </c>
      <c r="S32" s="222">
        <f t="shared" si="2"/>
        <v>3.38</v>
      </c>
      <c r="T32" s="231">
        <v>2.42</v>
      </c>
      <c r="U32" s="231">
        <v>3.38</v>
      </c>
      <c r="V32" s="221" t="str">
        <f t="shared" si="3"/>
        <v>50.8*43.18*8.89</v>
      </c>
      <c r="W32" s="223">
        <v>20</v>
      </c>
      <c r="X32" s="223">
        <v>17</v>
      </c>
      <c r="Y32" s="223">
        <v>3.5</v>
      </c>
      <c r="Z32" s="214">
        <f t="shared" si="4"/>
        <v>50.8</v>
      </c>
      <c r="AA32" s="214">
        <f t="shared" si="0"/>
        <v>43.18</v>
      </c>
      <c r="AB32" s="214">
        <f t="shared" si="0"/>
        <v>8.89</v>
      </c>
    </row>
    <row r="33" spans="1:28">
      <c r="A33" s="230">
        <v>13</v>
      </c>
      <c r="B33" s="230">
        <v>13</v>
      </c>
      <c r="C33" s="230"/>
      <c r="D33" s="230"/>
      <c r="E33" s="230"/>
      <c r="F33" s="230"/>
      <c r="G33" s="230">
        <v>32</v>
      </c>
      <c r="H33" s="230"/>
      <c r="I33" s="230"/>
      <c r="J33" s="230">
        <v>32</v>
      </c>
      <c r="K33" s="230"/>
      <c r="L33" s="230"/>
      <c r="M33" s="230"/>
      <c r="N33" s="230"/>
      <c r="O33" s="230"/>
      <c r="P33" s="230">
        <v>1</v>
      </c>
      <c r="Q33" s="230">
        <v>32</v>
      </c>
      <c r="R33" s="222">
        <f t="shared" si="1"/>
        <v>3.1599999999999997</v>
      </c>
      <c r="S33" s="222">
        <f t="shared" si="2"/>
        <v>4.1399999999999997</v>
      </c>
      <c r="T33" s="231">
        <v>3.1599999999999997</v>
      </c>
      <c r="U33" s="231">
        <v>4.1399999999999997</v>
      </c>
      <c r="V33" s="221" t="str">
        <f t="shared" si="3"/>
        <v>50.8*43.18*10.16</v>
      </c>
      <c r="W33" s="223">
        <v>20</v>
      </c>
      <c r="X33" s="223">
        <v>17</v>
      </c>
      <c r="Y33" s="223">
        <v>4</v>
      </c>
      <c r="Z33" s="214">
        <f t="shared" si="4"/>
        <v>50.8</v>
      </c>
      <c r="AA33" s="214">
        <f t="shared" si="0"/>
        <v>43.18</v>
      </c>
      <c r="AB33" s="214">
        <f t="shared" si="0"/>
        <v>10.16</v>
      </c>
    </row>
    <row r="34" spans="1:28">
      <c r="A34" s="230">
        <v>14</v>
      </c>
      <c r="B34" s="230">
        <v>14</v>
      </c>
      <c r="C34" s="230"/>
      <c r="D34" s="230"/>
      <c r="E34" s="230"/>
      <c r="F34" s="230"/>
      <c r="G34" s="230">
        <v>31</v>
      </c>
      <c r="H34" s="230"/>
      <c r="I34" s="230"/>
      <c r="J34" s="230"/>
      <c r="K34" s="230">
        <v>31</v>
      </c>
      <c r="L34" s="230"/>
      <c r="M34" s="230"/>
      <c r="N34" s="230"/>
      <c r="O34" s="230"/>
      <c r="P34" s="230">
        <v>1</v>
      </c>
      <c r="Q34" s="230">
        <v>31</v>
      </c>
      <c r="R34" s="222">
        <f t="shared" si="1"/>
        <v>3.7</v>
      </c>
      <c r="S34" s="222">
        <f t="shared" si="2"/>
        <v>4.7</v>
      </c>
      <c r="T34" s="231">
        <v>3.7</v>
      </c>
      <c r="U34" s="231">
        <v>4.7</v>
      </c>
      <c r="V34" s="221" t="str">
        <f t="shared" si="3"/>
        <v>50.8*43.18*11.43</v>
      </c>
      <c r="W34" s="223">
        <v>20</v>
      </c>
      <c r="X34" s="223">
        <v>17</v>
      </c>
      <c r="Y34" s="223">
        <v>4.5</v>
      </c>
      <c r="Z34" s="214">
        <f t="shared" si="4"/>
        <v>50.8</v>
      </c>
      <c r="AA34" s="214">
        <f t="shared" si="0"/>
        <v>43.18</v>
      </c>
      <c r="AB34" s="214">
        <f t="shared" si="0"/>
        <v>11.43</v>
      </c>
    </row>
    <row r="35" spans="1:28">
      <c r="A35" s="230">
        <v>15</v>
      </c>
      <c r="B35" s="230">
        <v>15</v>
      </c>
      <c r="C35" s="230"/>
      <c r="D35" s="230"/>
      <c r="E35" s="230"/>
      <c r="F35" s="230"/>
      <c r="G35" s="230">
        <v>24</v>
      </c>
      <c r="H35" s="230"/>
      <c r="I35" s="230"/>
      <c r="J35" s="230"/>
      <c r="K35" s="230"/>
      <c r="L35" s="230">
        <v>24</v>
      </c>
      <c r="M35" s="230"/>
      <c r="N35" s="230"/>
      <c r="O35" s="230"/>
      <c r="P35" s="230">
        <v>1</v>
      </c>
      <c r="Q35" s="230">
        <v>24</v>
      </c>
      <c r="R35" s="222">
        <f t="shared" si="1"/>
        <v>2.98</v>
      </c>
      <c r="S35" s="222">
        <f t="shared" si="2"/>
        <v>3.96</v>
      </c>
      <c r="T35" s="231">
        <v>2.98</v>
      </c>
      <c r="U35" s="231">
        <v>3.96</v>
      </c>
      <c r="V35" s="221" t="str">
        <f t="shared" si="3"/>
        <v>50.8*43.18*10.16</v>
      </c>
      <c r="W35" s="223">
        <v>20</v>
      </c>
      <c r="X35" s="223">
        <v>17</v>
      </c>
      <c r="Y35" s="223">
        <v>4</v>
      </c>
      <c r="Z35" s="214">
        <f t="shared" si="4"/>
        <v>50.8</v>
      </c>
      <c r="AA35" s="214">
        <f t="shared" si="4"/>
        <v>43.18</v>
      </c>
      <c r="AB35" s="214">
        <f t="shared" si="4"/>
        <v>10.16</v>
      </c>
    </row>
    <row r="36" spans="1:28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>
        <v>24</v>
      </c>
      <c r="M36" s="230"/>
      <c r="N36" s="230"/>
      <c r="O36" s="230"/>
      <c r="P36" s="230"/>
      <c r="Q36" s="230"/>
      <c r="R36" s="222"/>
      <c r="S36" s="222"/>
      <c r="T36" s="231"/>
      <c r="U36" s="231"/>
      <c r="V36" s="221"/>
      <c r="W36" s="223"/>
      <c r="X36" s="223"/>
      <c r="Y36" s="223"/>
      <c r="Z36" s="214">
        <f t="shared" si="4"/>
        <v>0</v>
      </c>
      <c r="AA36" s="214">
        <f t="shared" si="4"/>
        <v>0</v>
      </c>
      <c r="AB36" s="214">
        <f t="shared" si="4"/>
        <v>0</v>
      </c>
    </row>
    <row r="37" spans="1:28">
      <c r="A37" s="230">
        <v>16</v>
      </c>
      <c r="B37" s="230">
        <v>16</v>
      </c>
      <c r="C37" s="230"/>
      <c r="D37" s="230" t="s">
        <v>225</v>
      </c>
      <c r="E37" s="230" t="s">
        <v>231</v>
      </c>
      <c r="F37" s="230" t="s">
        <v>232</v>
      </c>
      <c r="G37" s="230">
        <v>9</v>
      </c>
      <c r="H37" s="230">
        <v>9</v>
      </c>
      <c r="I37" s="230"/>
      <c r="J37" s="230"/>
      <c r="K37" s="230"/>
      <c r="L37" s="230"/>
      <c r="M37" s="230"/>
      <c r="N37" s="230"/>
      <c r="O37" s="230"/>
      <c r="P37" s="230">
        <v>1</v>
      </c>
      <c r="Q37" s="230">
        <v>9</v>
      </c>
      <c r="R37" s="222">
        <f t="shared" si="1"/>
        <v>0.89999999999999991</v>
      </c>
      <c r="S37" s="222">
        <f t="shared" si="2"/>
        <v>1.7</v>
      </c>
      <c r="T37" s="231">
        <v>0.89999999999999991</v>
      </c>
      <c r="U37" s="231">
        <v>1.7</v>
      </c>
      <c r="V37" s="221" t="str">
        <f t="shared" si="3"/>
        <v>50.8*43.18*7.62</v>
      </c>
      <c r="W37" s="223">
        <v>20</v>
      </c>
      <c r="X37" s="223">
        <v>17</v>
      </c>
      <c r="Y37" s="223">
        <v>3</v>
      </c>
      <c r="Z37" s="214">
        <f t="shared" si="4"/>
        <v>50.8</v>
      </c>
      <c r="AA37" s="214">
        <f t="shared" si="4"/>
        <v>43.18</v>
      </c>
      <c r="AB37" s="214">
        <f t="shared" si="4"/>
        <v>7.62</v>
      </c>
    </row>
    <row r="38" spans="1:28">
      <c r="A38" s="230">
        <v>17</v>
      </c>
      <c r="B38" s="230">
        <v>17</v>
      </c>
      <c r="C38" s="230"/>
      <c r="D38" s="230"/>
      <c r="E38" s="230"/>
      <c r="F38" s="230"/>
      <c r="G38" s="230">
        <v>19</v>
      </c>
      <c r="H38" s="230"/>
      <c r="I38" s="230">
        <v>19</v>
      </c>
      <c r="J38" s="230"/>
      <c r="K38" s="230"/>
      <c r="L38" s="230"/>
      <c r="M38" s="230"/>
      <c r="N38" s="230"/>
      <c r="O38" s="230"/>
      <c r="P38" s="230">
        <v>1</v>
      </c>
      <c r="Q38" s="230">
        <v>19</v>
      </c>
      <c r="R38" s="222">
        <f t="shared" si="1"/>
        <v>2.0599999999999996</v>
      </c>
      <c r="S38" s="222">
        <f t="shared" si="2"/>
        <v>2.86</v>
      </c>
      <c r="T38" s="231">
        <v>2.0599999999999996</v>
      </c>
      <c r="U38" s="231">
        <v>2.86</v>
      </c>
      <c r="V38" s="221" t="str">
        <f t="shared" si="3"/>
        <v>50.8*43.18*7.62</v>
      </c>
      <c r="W38" s="223">
        <v>20</v>
      </c>
      <c r="X38" s="223">
        <v>17</v>
      </c>
      <c r="Y38" s="223">
        <v>3</v>
      </c>
      <c r="Z38" s="214">
        <f t="shared" si="4"/>
        <v>50.8</v>
      </c>
      <c r="AA38" s="214">
        <f t="shared" si="4"/>
        <v>43.18</v>
      </c>
      <c r="AB38" s="214">
        <f t="shared" si="4"/>
        <v>7.62</v>
      </c>
    </row>
    <row r="39" spans="1:28">
      <c r="A39" s="230">
        <v>18</v>
      </c>
      <c r="B39" s="230">
        <v>18</v>
      </c>
      <c r="C39" s="230"/>
      <c r="D39" s="230"/>
      <c r="E39" s="230"/>
      <c r="F39" s="230"/>
      <c r="G39" s="230">
        <v>26</v>
      </c>
      <c r="H39" s="230"/>
      <c r="I39" s="230"/>
      <c r="J39" s="230">
        <v>26</v>
      </c>
      <c r="K39" s="230"/>
      <c r="L39" s="230"/>
      <c r="M39" s="230"/>
      <c r="N39" s="230"/>
      <c r="O39" s="230"/>
      <c r="P39" s="230">
        <v>1</v>
      </c>
      <c r="Q39" s="230">
        <v>26</v>
      </c>
      <c r="R39" s="222">
        <f t="shared" si="1"/>
        <v>3.17</v>
      </c>
      <c r="S39" s="222">
        <f t="shared" si="2"/>
        <v>4</v>
      </c>
      <c r="T39" s="231">
        <v>3.17</v>
      </c>
      <c r="U39" s="231">
        <v>4</v>
      </c>
      <c r="V39" s="221" t="str">
        <f t="shared" si="3"/>
        <v>53.34*43.18*8.89</v>
      </c>
      <c r="W39" s="223">
        <v>21</v>
      </c>
      <c r="X39" s="223">
        <v>17</v>
      </c>
      <c r="Y39" s="223">
        <v>3.5</v>
      </c>
      <c r="Z39" s="214">
        <f t="shared" si="4"/>
        <v>53.34</v>
      </c>
      <c r="AA39" s="214">
        <f t="shared" si="4"/>
        <v>43.18</v>
      </c>
      <c r="AB39" s="214">
        <f t="shared" si="4"/>
        <v>8.89</v>
      </c>
    </row>
    <row r="40" spans="1:28">
      <c r="A40" s="230">
        <v>19</v>
      </c>
      <c r="B40" s="230">
        <v>19</v>
      </c>
      <c r="C40" s="230"/>
      <c r="D40" s="230"/>
      <c r="E40" s="230"/>
      <c r="F40" s="230"/>
      <c r="G40" s="230">
        <v>26</v>
      </c>
      <c r="H40" s="230"/>
      <c r="I40" s="230"/>
      <c r="J40" s="230"/>
      <c r="K40" s="230">
        <v>26</v>
      </c>
      <c r="L40" s="230"/>
      <c r="M40" s="230"/>
      <c r="N40" s="230"/>
      <c r="O40" s="230"/>
      <c r="P40" s="230">
        <v>1</v>
      </c>
      <c r="Q40" s="230">
        <v>26</v>
      </c>
      <c r="R40" s="222">
        <f t="shared" si="1"/>
        <v>3.59</v>
      </c>
      <c r="S40" s="222">
        <f t="shared" si="2"/>
        <v>4.42</v>
      </c>
      <c r="T40" s="231">
        <v>3.59</v>
      </c>
      <c r="U40" s="231">
        <v>4.42</v>
      </c>
      <c r="V40" s="221" t="str">
        <f t="shared" si="3"/>
        <v>53.34*43.18*8.89</v>
      </c>
      <c r="W40" s="223">
        <v>21</v>
      </c>
      <c r="X40" s="223">
        <v>17</v>
      </c>
      <c r="Y40" s="223">
        <v>3.5</v>
      </c>
      <c r="Z40" s="214">
        <f t="shared" si="4"/>
        <v>53.34</v>
      </c>
      <c r="AA40" s="214">
        <f t="shared" si="4"/>
        <v>43.18</v>
      </c>
      <c r="AB40" s="214">
        <f t="shared" si="4"/>
        <v>8.89</v>
      </c>
    </row>
    <row r="41" spans="1:28">
      <c r="A41" s="230">
        <v>20</v>
      </c>
      <c r="B41" s="230">
        <v>20</v>
      </c>
      <c r="C41" s="230"/>
      <c r="D41" s="230"/>
      <c r="E41" s="230"/>
      <c r="F41" s="230"/>
      <c r="G41" s="230">
        <v>16</v>
      </c>
      <c r="H41" s="230"/>
      <c r="I41" s="230"/>
      <c r="J41" s="230"/>
      <c r="K41" s="230"/>
      <c r="L41" s="230">
        <v>16</v>
      </c>
      <c r="M41" s="230"/>
      <c r="N41" s="230"/>
      <c r="O41" s="230"/>
      <c r="P41" s="230">
        <v>1</v>
      </c>
      <c r="Q41" s="230">
        <v>16</v>
      </c>
      <c r="R41" s="222">
        <f t="shared" si="1"/>
        <v>2.3499999999999996</v>
      </c>
      <c r="S41" s="222">
        <f t="shared" si="2"/>
        <v>3.15</v>
      </c>
      <c r="T41" s="231">
        <v>2.3499999999999996</v>
      </c>
      <c r="U41" s="231">
        <v>3.15</v>
      </c>
      <c r="V41" s="221" t="str">
        <f t="shared" si="3"/>
        <v>53.34*43.18*7.62</v>
      </c>
      <c r="W41" s="223">
        <v>21</v>
      </c>
      <c r="X41" s="223">
        <v>17</v>
      </c>
      <c r="Y41" s="223">
        <v>3</v>
      </c>
      <c r="Z41" s="214">
        <f t="shared" si="4"/>
        <v>53.34</v>
      </c>
      <c r="AA41" s="214">
        <f t="shared" si="4"/>
        <v>43.18</v>
      </c>
      <c r="AB41" s="214">
        <f t="shared" si="4"/>
        <v>7.62</v>
      </c>
    </row>
    <row r="42" spans="1:28">
      <c r="A42" s="230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>
        <v>16</v>
      </c>
      <c r="M42" s="230"/>
      <c r="N42" s="230"/>
      <c r="O42" s="230"/>
      <c r="P42" s="230"/>
      <c r="Q42" s="230"/>
      <c r="R42" s="222"/>
      <c r="S42" s="222"/>
      <c r="T42" s="231"/>
      <c r="U42" s="231"/>
      <c r="V42" s="221"/>
      <c r="W42" s="223"/>
      <c r="X42" s="223"/>
      <c r="Y42" s="223"/>
      <c r="Z42" s="214">
        <f t="shared" si="4"/>
        <v>0</v>
      </c>
      <c r="AA42" s="214">
        <f t="shared" si="4"/>
        <v>0</v>
      </c>
      <c r="AB42" s="214">
        <f t="shared" si="4"/>
        <v>0</v>
      </c>
    </row>
    <row r="43" spans="1:28">
      <c r="A43" s="230">
        <v>21</v>
      </c>
      <c r="B43" s="230">
        <v>21</v>
      </c>
      <c r="C43" s="230"/>
      <c r="D43" s="230" t="s">
        <v>225</v>
      </c>
      <c r="E43" s="230" t="s">
        <v>257</v>
      </c>
      <c r="F43" s="230" t="s">
        <v>258</v>
      </c>
      <c r="G43" s="230">
        <v>9</v>
      </c>
      <c r="H43" s="230">
        <v>9</v>
      </c>
      <c r="I43" s="230"/>
      <c r="J43" s="230"/>
      <c r="K43" s="230"/>
      <c r="L43" s="230"/>
      <c r="M43" s="230"/>
      <c r="N43" s="230"/>
      <c r="O43" s="230"/>
      <c r="P43" s="230">
        <v>1</v>
      </c>
      <c r="Q43" s="230">
        <v>9</v>
      </c>
      <c r="R43" s="222">
        <f t="shared" si="1"/>
        <v>0.89999999999999991</v>
      </c>
      <c r="S43" s="222">
        <f t="shared" si="2"/>
        <v>1.7</v>
      </c>
      <c r="T43" s="231">
        <v>0.89999999999999991</v>
      </c>
      <c r="U43" s="231">
        <v>1.7</v>
      </c>
      <c r="V43" s="221" t="str">
        <f t="shared" si="3"/>
        <v>50.8*43.18*7.62</v>
      </c>
      <c r="W43" s="223">
        <v>20</v>
      </c>
      <c r="X43" s="223">
        <v>17</v>
      </c>
      <c r="Y43" s="223">
        <v>3</v>
      </c>
      <c r="Z43" s="214">
        <f t="shared" si="4"/>
        <v>50.8</v>
      </c>
      <c r="AA43" s="214">
        <f t="shared" si="4"/>
        <v>43.18</v>
      </c>
      <c r="AB43" s="214">
        <f t="shared" si="4"/>
        <v>7.62</v>
      </c>
    </row>
    <row r="44" spans="1:28">
      <c r="A44" s="230">
        <v>22</v>
      </c>
      <c r="B44" s="230">
        <v>22</v>
      </c>
      <c r="C44" s="230"/>
      <c r="D44" s="230"/>
      <c r="E44" s="230"/>
      <c r="F44" s="230"/>
      <c r="G44" s="230">
        <v>19</v>
      </c>
      <c r="H44" s="230"/>
      <c r="I44" s="230">
        <v>19</v>
      </c>
      <c r="J44" s="230"/>
      <c r="K44" s="230"/>
      <c r="L44" s="230"/>
      <c r="M44" s="230"/>
      <c r="N44" s="230"/>
      <c r="O44" s="230"/>
      <c r="P44" s="230">
        <v>1</v>
      </c>
      <c r="Q44" s="230">
        <v>19</v>
      </c>
      <c r="R44" s="222">
        <f t="shared" si="1"/>
        <v>2.0599999999999996</v>
      </c>
      <c r="S44" s="222">
        <f t="shared" si="2"/>
        <v>2.86</v>
      </c>
      <c r="T44" s="231">
        <v>2.0599999999999996</v>
      </c>
      <c r="U44" s="231">
        <v>2.86</v>
      </c>
      <c r="V44" s="221" t="str">
        <f t="shared" si="3"/>
        <v>50.8*43.18*7.62</v>
      </c>
      <c r="W44" s="223">
        <v>20</v>
      </c>
      <c r="X44" s="223">
        <v>17</v>
      </c>
      <c r="Y44" s="223">
        <v>3</v>
      </c>
      <c r="Z44" s="214">
        <f t="shared" si="4"/>
        <v>50.8</v>
      </c>
      <c r="AA44" s="214">
        <f t="shared" si="4"/>
        <v>43.18</v>
      </c>
      <c r="AB44" s="214">
        <f t="shared" si="4"/>
        <v>7.62</v>
      </c>
    </row>
    <row r="45" spans="1:28">
      <c r="A45" s="230">
        <v>23</v>
      </c>
      <c r="B45" s="230">
        <v>23</v>
      </c>
      <c r="C45" s="230"/>
      <c r="D45" s="230"/>
      <c r="E45" s="230"/>
      <c r="F45" s="230"/>
      <c r="G45" s="230">
        <v>26</v>
      </c>
      <c r="H45" s="230"/>
      <c r="I45" s="230"/>
      <c r="J45" s="230">
        <v>26</v>
      </c>
      <c r="K45" s="230"/>
      <c r="L45" s="230"/>
      <c r="M45" s="230"/>
      <c r="N45" s="230"/>
      <c r="O45" s="230"/>
      <c r="P45" s="230">
        <v>1</v>
      </c>
      <c r="Q45" s="230">
        <v>26</v>
      </c>
      <c r="R45" s="222">
        <f t="shared" si="1"/>
        <v>3.17</v>
      </c>
      <c r="S45" s="222">
        <f t="shared" si="2"/>
        <v>4</v>
      </c>
      <c r="T45" s="231">
        <v>3.17</v>
      </c>
      <c r="U45" s="231">
        <v>4</v>
      </c>
      <c r="V45" s="221" t="str">
        <f t="shared" si="3"/>
        <v>53.34*43.18*8.89</v>
      </c>
      <c r="W45" s="223">
        <v>21</v>
      </c>
      <c r="X45" s="223">
        <v>17</v>
      </c>
      <c r="Y45" s="223">
        <v>3.5</v>
      </c>
      <c r="Z45" s="214">
        <f t="shared" si="4"/>
        <v>53.34</v>
      </c>
      <c r="AA45" s="214">
        <f t="shared" si="4"/>
        <v>43.18</v>
      </c>
      <c r="AB45" s="214">
        <f t="shared" si="4"/>
        <v>8.89</v>
      </c>
    </row>
    <row r="46" spans="1:28">
      <c r="A46" s="230">
        <v>24</v>
      </c>
      <c r="B46" s="230">
        <v>24</v>
      </c>
      <c r="C46" s="230"/>
      <c r="D46" s="230"/>
      <c r="E46" s="230"/>
      <c r="F46" s="230"/>
      <c r="G46" s="230">
        <v>26</v>
      </c>
      <c r="H46" s="230"/>
      <c r="I46" s="230"/>
      <c r="J46" s="230"/>
      <c r="K46" s="230">
        <v>26</v>
      </c>
      <c r="L46" s="230"/>
      <c r="M46" s="230"/>
      <c r="N46" s="230"/>
      <c r="O46" s="230"/>
      <c r="P46" s="230">
        <v>1</v>
      </c>
      <c r="Q46" s="230">
        <v>26</v>
      </c>
      <c r="R46" s="222">
        <f t="shared" si="1"/>
        <v>3.59</v>
      </c>
      <c r="S46" s="222">
        <f t="shared" si="2"/>
        <v>4.42</v>
      </c>
      <c r="T46" s="231">
        <v>3.59</v>
      </c>
      <c r="U46" s="231">
        <v>4.42</v>
      </c>
      <c r="V46" s="221" t="str">
        <f t="shared" si="3"/>
        <v>53.34*43.18*8.89</v>
      </c>
      <c r="W46" s="223">
        <v>21</v>
      </c>
      <c r="X46" s="223">
        <v>17</v>
      </c>
      <c r="Y46" s="223">
        <v>3.5</v>
      </c>
      <c r="Z46" s="214">
        <f t="shared" si="4"/>
        <v>53.34</v>
      </c>
      <c r="AA46" s="214">
        <f t="shared" si="4"/>
        <v>43.18</v>
      </c>
      <c r="AB46" s="214">
        <f t="shared" si="4"/>
        <v>8.89</v>
      </c>
    </row>
    <row r="47" spans="1:28">
      <c r="A47" s="230">
        <v>25</v>
      </c>
      <c r="B47" s="230">
        <v>25</v>
      </c>
      <c r="C47" s="230"/>
      <c r="D47" s="230"/>
      <c r="E47" s="230"/>
      <c r="F47" s="230"/>
      <c r="G47" s="230">
        <v>16</v>
      </c>
      <c r="H47" s="230"/>
      <c r="I47" s="230"/>
      <c r="J47" s="230"/>
      <c r="K47" s="230"/>
      <c r="L47" s="230">
        <v>16</v>
      </c>
      <c r="M47" s="230"/>
      <c r="N47" s="230"/>
      <c r="O47" s="230"/>
      <c r="P47" s="230">
        <v>1</v>
      </c>
      <c r="Q47" s="230">
        <v>16</v>
      </c>
      <c r="R47" s="222">
        <f t="shared" si="1"/>
        <v>2.3499999999999996</v>
      </c>
      <c r="S47" s="222">
        <f t="shared" si="2"/>
        <v>3.15</v>
      </c>
      <c r="T47" s="231">
        <v>2.3499999999999996</v>
      </c>
      <c r="U47" s="231">
        <v>3.15</v>
      </c>
      <c r="V47" s="221" t="str">
        <f t="shared" si="3"/>
        <v>53.34*43.18*7.62</v>
      </c>
      <c r="W47" s="223">
        <v>21</v>
      </c>
      <c r="X47" s="223">
        <v>17</v>
      </c>
      <c r="Y47" s="223">
        <v>3</v>
      </c>
      <c r="Z47" s="214">
        <f t="shared" si="4"/>
        <v>53.34</v>
      </c>
      <c r="AA47" s="214">
        <f t="shared" si="4"/>
        <v>43.18</v>
      </c>
      <c r="AB47" s="214">
        <f t="shared" si="4"/>
        <v>7.62</v>
      </c>
    </row>
    <row r="48" spans="1:28">
      <c r="A48" s="230"/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>
        <v>16</v>
      </c>
      <c r="M48" s="230"/>
      <c r="N48" s="230"/>
      <c r="O48" s="230"/>
      <c r="P48" s="230"/>
      <c r="Q48" s="230"/>
      <c r="R48" s="222"/>
      <c r="S48" s="222"/>
      <c r="T48" s="231"/>
      <c r="U48" s="231"/>
      <c r="V48" s="221"/>
      <c r="W48" s="223"/>
      <c r="X48" s="223"/>
      <c r="Y48" s="223"/>
      <c r="Z48" s="214">
        <f t="shared" si="4"/>
        <v>0</v>
      </c>
      <c r="AA48" s="214">
        <f t="shared" si="4"/>
        <v>0</v>
      </c>
      <c r="AB48" s="214">
        <f t="shared" si="4"/>
        <v>0</v>
      </c>
    </row>
    <row r="49" spans="1:28">
      <c r="A49" s="230" t="s">
        <v>263</v>
      </c>
      <c r="B49" s="230"/>
      <c r="C49" s="230" t="s">
        <v>198</v>
      </c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22"/>
      <c r="S49" s="222"/>
      <c r="T49" s="231"/>
      <c r="U49" s="231"/>
      <c r="V49" s="221"/>
      <c r="W49" s="223">
        <v>19</v>
      </c>
      <c r="X49" s="223">
        <v>11</v>
      </c>
      <c r="Y49" s="223">
        <v>8.5</v>
      </c>
      <c r="Z49" s="214">
        <f t="shared" si="4"/>
        <v>48.26</v>
      </c>
      <c r="AA49" s="214">
        <f t="shared" si="4"/>
        <v>27.94</v>
      </c>
      <c r="AB49" s="214">
        <f t="shared" si="4"/>
        <v>21.59</v>
      </c>
    </row>
    <row r="50" spans="1:28">
      <c r="A50" s="230">
        <v>26</v>
      </c>
      <c r="B50" s="230">
        <v>26</v>
      </c>
      <c r="C50" s="230" t="s">
        <v>190</v>
      </c>
      <c r="D50" s="230" t="s">
        <v>226</v>
      </c>
      <c r="E50" s="230" t="s">
        <v>261</v>
      </c>
      <c r="F50" s="230" t="s">
        <v>262</v>
      </c>
      <c r="G50" s="230">
        <v>7</v>
      </c>
      <c r="H50" s="230">
        <v>7</v>
      </c>
      <c r="I50" s="230"/>
      <c r="J50" s="230"/>
      <c r="K50" s="230"/>
      <c r="L50" s="230"/>
      <c r="M50" s="230"/>
      <c r="N50" s="230"/>
      <c r="O50" s="230"/>
      <c r="P50" s="230">
        <v>1</v>
      </c>
      <c r="Q50" s="230">
        <v>7</v>
      </c>
      <c r="R50" s="222">
        <f t="shared" si="1"/>
        <v>0.72</v>
      </c>
      <c r="S50" s="222">
        <f t="shared" si="2"/>
        <v>0.96</v>
      </c>
      <c r="T50" s="231">
        <v>0.72</v>
      </c>
      <c r="U50" s="231">
        <v>0.96</v>
      </c>
      <c r="V50" s="221" t="str">
        <f t="shared" si="3"/>
        <v>25.4*22.86*8.89</v>
      </c>
      <c r="W50" s="223">
        <v>10</v>
      </c>
      <c r="X50" s="223">
        <v>9</v>
      </c>
      <c r="Y50" s="223">
        <v>3.5</v>
      </c>
      <c r="Z50" s="214">
        <f t="shared" si="4"/>
        <v>25.4</v>
      </c>
      <c r="AA50" s="214">
        <f t="shared" si="4"/>
        <v>22.86</v>
      </c>
      <c r="AB50" s="214">
        <f t="shared" si="4"/>
        <v>8.89</v>
      </c>
    </row>
    <row r="51" spans="1:28">
      <c r="A51" s="230">
        <v>27</v>
      </c>
      <c r="B51" s="230">
        <v>27</v>
      </c>
      <c r="C51" s="230" t="s">
        <v>190</v>
      </c>
      <c r="D51" s="230"/>
      <c r="E51" s="230"/>
      <c r="F51" s="230"/>
      <c r="G51" s="230">
        <v>14</v>
      </c>
      <c r="H51" s="230"/>
      <c r="I51" s="230">
        <v>14</v>
      </c>
      <c r="J51" s="230"/>
      <c r="K51" s="230"/>
      <c r="L51" s="230"/>
      <c r="M51" s="230"/>
      <c r="N51" s="230"/>
      <c r="O51" s="230"/>
      <c r="P51" s="230">
        <v>1</v>
      </c>
      <c r="Q51" s="230">
        <v>14</v>
      </c>
      <c r="R51" s="222"/>
      <c r="S51" s="222"/>
      <c r="T51" s="231"/>
      <c r="U51" s="231"/>
      <c r="V51" s="221" t="str">
        <f t="shared" si="3"/>
        <v>44.45*25.4*7.62</v>
      </c>
      <c r="W51" s="223">
        <v>17.5</v>
      </c>
      <c r="X51" s="223">
        <v>10</v>
      </c>
      <c r="Y51" s="223">
        <v>3</v>
      </c>
      <c r="Z51" s="214">
        <f t="shared" si="4"/>
        <v>44.45</v>
      </c>
      <c r="AA51" s="214">
        <f t="shared" si="4"/>
        <v>25.4</v>
      </c>
      <c r="AB51" s="214">
        <f t="shared" si="4"/>
        <v>7.62</v>
      </c>
    </row>
    <row r="52" spans="1:28">
      <c r="A52" s="230">
        <v>28</v>
      </c>
      <c r="B52" s="230">
        <v>28</v>
      </c>
      <c r="C52" s="230" t="s">
        <v>189</v>
      </c>
      <c r="D52" s="230"/>
      <c r="E52" s="230"/>
      <c r="F52" s="230"/>
      <c r="G52" s="230">
        <v>19</v>
      </c>
      <c r="H52" s="230"/>
      <c r="I52" s="230"/>
      <c r="J52" s="230">
        <v>19</v>
      </c>
      <c r="K52" s="230"/>
      <c r="L52" s="230"/>
      <c r="M52" s="230"/>
      <c r="N52" s="230"/>
      <c r="O52" s="230"/>
      <c r="P52" s="230">
        <v>1</v>
      </c>
      <c r="Q52" s="230">
        <v>19</v>
      </c>
      <c r="R52" s="222">
        <f t="shared" si="1"/>
        <v>2.2800000000000002</v>
      </c>
      <c r="S52" s="222">
        <f t="shared" si="2"/>
        <v>3.08</v>
      </c>
      <c r="T52" s="231">
        <v>2.2800000000000002</v>
      </c>
      <c r="U52" s="231">
        <v>3.08</v>
      </c>
      <c r="V52" s="221" t="str">
        <f t="shared" si="3"/>
        <v>53.34*43.18*7.62</v>
      </c>
      <c r="W52" s="223">
        <v>21</v>
      </c>
      <c r="X52" s="223">
        <v>17</v>
      </c>
      <c r="Y52" s="223">
        <v>3</v>
      </c>
      <c r="Z52" s="214">
        <f t="shared" si="4"/>
        <v>53.34</v>
      </c>
      <c r="AA52" s="214">
        <f t="shared" si="4"/>
        <v>43.18</v>
      </c>
      <c r="AB52" s="214">
        <f t="shared" si="4"/>
        <v>7.62</v>
      </c>
    </row>
    <row r="53" spans="1:28">
      <c r="A53" s="230">
        <v>29</v>
      </c>
      <c r="B53" s="230">
        <v>29</v>
      </c>
      <c r="C53" s="230" t="s">
        <v>189</v>
      </c>
      <c r="D53" s="230"/>
      <c r="E53" s="230"/>
      <c r="F53" s="230"/>
      <c r="G53" s="230">
        <v>18</v>
      </c>
      <c r="H53" s="230"/>
      <c r="I53" s="230"/>
      <c r="J53" s="230"/>
      <c r="K53" s="230">
        <v>18</v>
      </c>
      <c r="L53" s="230"/>
      <c r="M53" s="230"/>
      <c r="N53" s="230"/>
      <c r="O53" s="230"/>
      <c r="P53" s="230">
        <v>1</v>
      </c>
      <c r="Q53" s="230">
        <v>18</v>
      </c>
      <c r="R53" s="222">
        <f t="shared" si="1"/>
        <v>2.4400000000000004</v>
      </c>
      <c r="S53" s="222">
        <f t="shared" si="2"/>
        <v>3.24</v>
      </c>
      <c r="T53" s="231">
        <v>2.4400000000000004</v>
      </c>
      <c r="U53" s="231">
        <v>3.24</v>
      </c>
      <c r="V53" s="221" t="str">
        <f t="shared" si="3"/>
        <v>50.8*43.18*7.62</v>
      </c>
      <c r="W53" s="223">
        <v>20</v>
      </c>
      <c r="X53" s="223">
        <v>17</v>
      </c>
      <c r="Y53" s="223">
        <v>3</v>
      </c>
      <c r="Z53" s="214">
        <f t="shared" si="4"/>
        <v>50.8</v>
      </c>
      <c r="AA53" s="214">
        <f t="shared" si="4"/>
        <v>43.18</v>
      </c>
      <c r="AB53" s="214">
        <f t="shared" si="4"/>
        <v>7.62</v>
      </c>
    </row>
    <row r="54" spans="1:28">
      <c r="A54" s="230">
        <v>30</v>
      </c>
      <c r="B54" s="230">
        <v>30</v>
      </c>
      <c r="C54" s="230" t="s">
        <v>189</v>
      </c>
      <c r="D54" s="230"/>
      <c r="E54" s="230"/>
      <c r="F54" s="230"/>
      <c r="G54" s="230">
        <v>14</v>
      </c>
      <c r="H54" s="230"/>
      <c r="I54" s="230"/>
      <c r="J54" s="230"/>
      <c r="K54" s="230"/>
      <c r="L54" s="230">
        <v>14</v>
      </c>
      <c r="M54" s="230"/>
      <c r="N54" s="230"/>
      <c r="O54" s="230"/>
      <c r="P54" s="230">
        <v>1</v>
      </c>
      <c r="Q54" s="230">
        <v>14</v>
      </c>
      <c r="R54" s="222">
        <f t="shared" si="1"/>
        <v>2.06</v>
      </c>
      <c r="S54" s="222">
        <f t="shared" si="2"/>
        <v>2.54</v>
      </c>
      <c r="T54" s="231">
        <v>2.06</v>
      </c>
      <c r="U54" s="231">
        <v>2.54</v>
      </c>
      <c r="V54" s="221" t="str">
        <f t="shared" si="3"/>
        <v>43.18*25.4*11.43</v>
      </c>
      <c r="W54" s="223">
        <v>17</v>
      </c>
      <c r="X54" s="223">
        <v>10</v>
      </c>
      <c r="Y54" s="223">
        <v>4.5</v>
      </c>
      <c r="Z54" s="214">
        <f t="shared" si="4"/>
        <v>43.18</v>
      </c>
      <c r="AA54" s="214">
        <f t="shared" si="4"/>
        <v>25.4</v>
      </c>
      <c r="AB54" s="214">
        <f t="shared" si="4"/>
        <v>11.43</v>
      </c>
    </row>
    <row r="55" spans="1:28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>
        <v>14</v>
      </c>
      <c r="M55" s="230"/>
      <c r="N55" s="230"/>
      <c r="O55" s="230"/>
      <c r="P55" s="230"/>
      <c r="Q55" s="230"/>
      <c r="R55" s="222"/>
      <c r="S55" s="222"/>
      <c r="T55" s="231"/>
      <c r="U55" s="231"/>
      <c r="V55" s="221"/>
      <c r="W55" s="223"/>
      <c r="X55" s="223"/>
      <c r="Y55" s="223"/>
      <c r="Z55" s="214">
        <f t="shared" si="4"/>
        <v>0</v>
      </c>
      <c r="AA55" s="214">
        <f t="shared" si="4"/>
        <v>0</v>
      </c>
      <c r="AB55" s="214">
        <f t="shared" si="4"/>
        <v>0</v>
      </c>
    </row>
    <row r="56" spans="1:28">
      <c r="A56" s="230" t="s">
        <v>202</v>
      </c>
      <c r="B56" s="230"/>
      <c r="C56" s="230" t="s">
        <v>198</v>
      </c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22"/>
      <c r="S56" s="222"/>
      <c r="T56" s="231"/>
      <c r="U56" s="231"/>
      <c r="V56" s="221"/>
      <c r="W56" s="223">
        <v>19</v>
      </c>
      <c r="X56" s="223">
        <v>11</v>
      </c>
      <c r="Y56" s="223">
        <v>8.5</v>
      </c>
      <c r="Z56" s="214">
        <f t="shared" si="4"/>
        <v>48.26</v>
      </c>
      <c r="AA56" s="214">
        <f t="shared" si="4"/>
        <v>27.94</v>
      </c>
      <c r="AB56" s="214">
        <f t="shared" si="4"/>
        <v>21.59</v>
      </c>
    </row>
    <row r="57" spans="1:28">
      <c r="A57" s="230">
        <v>31</v>
      </c>
      <c r="B57" s="230">
        <v>31</v>
      </c>
      <c r="C57" s="230" t="s">
        <v>190</v>
      </c>
      <c r="D57" s="230" t="s">
        <v>226</v>
      </c>
      <c r="E57" s="230" t="s">
        <v>257</v>
      </c>
      <c r="F57" s="230" t="s">
        <v>258</v>
      </c>
      <c r="G57" s="230">
        <v>7</v>
      </c>
      <c r="H57" s="230">
        <v>7</v>
      </c>
      <c r="I57" s="230"/>
      <c r="J57" s="230"/>
      <c r="K57" s="230"/>
      <c r="L57" s="230"/>
      <c r="M57" s="230"/>
      <c r="N57" s="230"/>
      <c r="O57" s="230"/>
      <c r="P57" s="230">
        <v>1</v>
      </c>
      <c r="Q57" s="230">
        <v>7</v>
      </c>
      <c r="R57" s="222">
        <f t="shared" si="1"/>
        <v>0.72</v>
      </c>
      <c r="S57" s="222">
        <f t="shared" si="2"/>
        <v>0.96</v>
      </c>
      <c r="T57" s="231">
        <v>0.72</v>
      </c>
      <c r="U57" s="231">
        <v>0.96</v>
      </c>
      <c r="V57" s="221" t="str">
        <f t="shared" si="3"/>
        <v>25.4*22.86*8.89</v>
      </c>
      <c r="W57" s="223">
        <v>10</v>
      </c>
      <c r="X57" s="223">
        <v>9</v>
      </c>
      <c r="Y57" s="223">
        <v>3.5</v>
      </c>
      <c r="Z57" s="214">
        <f t="shared" si="4"/>
        <v>25.4</v>
      </c>
      <c r="AA57" s="214">
        <f t="shared" si="4"/>
        <v>22.86</v>
      </c>
      <c r="AB57" s="214">
        <f t="shared" si="4"/>
        <v>8.89</v>
      </c>
    </row>
    <row r="58" spans="1:28">
      <c r="A58" s="230">
        <v>32</v>
      </c>
      <c r="B58" s="230">
        <v>32</v>
      </c>
      <c r="C58" s="230" t="s">
        <v>190</v>
      </c>
      <c r="D58" s="230"/>
      <c r="E58" s="230"/>
      <c r="F58" s="230"/>
      <c r="G58" s="230">
        <v>14</v>
      </c>
      <c r="H58" s="230"/>
      <c r="I58" s="230">
        <v>14</v>
      </c>
      <c r="J58" s="230"/>
      <c r="K58" s="230"/>
      <c r="L58" s="230"/>
      <c r="M58" s="230"/>
      <c r="N58" s="230"/>
      <c r="O58" s="230"/>
      <c r="P58" s="230">
        <v>1</v>
      </c>
      <c r="Q58" s="230">
        <v>14</v>
      </c>
      <c r="R58" s="222"/>
      <c r="S58" s="222"/>
      <c r="T58" s="231"/>
      <c r="U58" s="231"/>
      <c r="V58" s="221" t="str">
        <f t="shared" si="3"/>
        <v>44.45*25.4*7.62</v>
      </c>
      <c r="W58" s="223">
        <v>17.5</v>
      </c>
      <c r="X58" s="223">
        <v>10</v>
      </c>
      <c r="Y58" s="223">
        <v>3</v>
      </c>
      <c r="Z58" s="214">
        <f t="shared" si="4"/>
        <v>44.45</v>
      </c>
      <c r="AA58" s="214">
        <f t="shared" si="4"/>
        <v>25.4</v>
      </c>
      <c r="AB58" s="214">
        <f t="shared" si="4"/>
        <v>7.62</v>
      </c>
    </row>
    <row r="59" spans="1:28">
      <c r="A59" s="230">
        <v>33</v>
      </c>
      <c r="B59" s="230">
        <v>33</v>
      </c>
      <c r="C59" s="230" t="s">
        <v>189</v>
      </c>
      <c r="D59" s="230"/>
      <c r="E59" s="230"/>
      <c r="F59" s="230"/>
      <c r="G59" s="230">
        <v>19</v>
      </c>
      <c r="H59" s="230"/>
      <c r="I59" s="230"/>
      <c r="J59" s="230">
        <v>19</v>
      </c>
      <c r="K59" s="230"/>
      <c r="L59" s="230"/>
      <c r="M59" s="230"/>
      <c r="N59" s="230"/>
      <c r="O59" s="230"/>
      <c r="P59" s="230">
        <v>1</v>
      </c>
      <c r="Q59" s="230">
        <v>19</v>
      </c>
      <c r="R59" s="222">
        <f t="shared" si="1"/>
        <v>2.2800000000000002</v>
      </c>
      <c r="S59" s="222">
        <f t="shared" si="2"/>
        <v>3.08</v>
      </c>
      <c r="T59" s="231">
        <v>2.2800000000000002</v>
      </c>
      <c r="U59" s="231">
        <v>3.08</v>
      </c>
      <c r="V59" s="221" t="str">
        <f t="shared" si="3"/>
        <v>53.34*43.18*7.62</v>
      </c>
      <c r="W59" s="223">
        <v>21</v>
      </c>
      <c r="X59" s="223">
        <v>17</v>
      </c>
      <c r="Y59" s="223">
        <v>3</v>
      </c>
      <c r="Z59" s="214">
        <f t="shared" si="4"/>
        <v>53.34</v>
      </c>
      <c r="AA59" s="214">
        <f t="shared" si="4"/>
        <v>43.18</v>
      </c>
      <c r="AB59" s="214">
        <f t="shared" si="4"/>
        <v>7.62</v>
      </c>
    </row>
    <row r="60" spans="1:28">
      <c r="A60" s="230">
        <v>34</v>
      </c>
      <c r="B60" s="230">
        <v>34</v>
      </c>
      <c r="C60" s="230" t="s">
        <v>189</v>
      </c>
      <c r="D60" s="230"/>
      <c r="E60" s="230"/>
      <c r="F60" s="230"/>
      <c r="G60" s="230">
        <v>18</v>
      </c>
      <c r="H60" s="230"/>
      <c r="I60" s="230"/>
      <c r="J60" s="230"/>
      <c r="K60" s="230">
        <v>18</v>
      </c>
      <c r="L60" s="230"/>
      <c r="M60" s="230"/>
      <c r="N60" s="230"/>
      <c r="O60" s="230"/>
      <c r="P60" s="230">
        <v>1</v>
      </c>
      <c r="Q60" s="230">
        <v>18</v>
      </c>
      <c r="R60" s="222">
        <f t="shared" si="1"/>
        <v>2.4400000000000004</v>
      </c>
      <c r="S60" s="222">
        <f t="shared" si="2"/>
        <v>3.24</v>
      </c>
      <c r="T60" s="231">
        <v>2.4400000000000004</v>
      </c>
      <c r="U60" s="231">
        <v>3.24</v>
      </c>
      <c r="V60" s="221" t="str">
        <f t="shared" si="3"/>
        <v>50.8*43.18*7.62</v>
      </c>
      <c r="W60" s="223">
        <v>20</v>
      </c>
      <c r="X60" s="223">
        <v>17</v>
      </c>
      <c r="Y60" s="223">
        <v>3</v>
      </c>
      <c r="Z60" s="214">
        <f t="shared" si="4"/>
        <v>50.8</v>
      </c>
      <c r="AA60" s="214">
        <f t="shared" si="4"/>
        <v>43.18</v>
      </c>
      <c r="AB60" s="214">
        <f t="shared" si="4"/>
        <v>7.62</v>
      </c>
    </row>
    <row r="61" spans="1:28">
      <c r="A61" s="230">
        <v>35</v>
      </c>
      <c r="B61" s="230">
        <v>35</v>
      </c>
      <c r="C61" s="230" t="s">
        <v>189</v>
      </c>
      <c r="D61" s="230"/>
      <c r="E61" s="230"/>
      <c r="F61" s="230"/>
      <c r="G61" s="230">
        <v>14</v>
      </c>
      <c r="H61" s="230"/>
      <c r="I61" s="230"/>
      <c r="J61" s="230"/>
      <c r="K61" s="230"/>
      <c r="L61" s="230">
        <v>14</v>
      </c>
      <c r="M61" s="230"/>
      <c r="N61" s="230"/>
      <c r="O61" s="230"/>
      <c r="P61" s="230">
        <v>1</v>
      </c>
      <c r="Q61" s="230">
        <v>14</v>
      </c>
      <c r="R61" s="222">
        <f t="shared" si="1"/>
        <v>2.06</v>
      </c>
      <c r="S61" s="222">
        <f t="shared" si="2"/>
        <v>2.54</v>
      </c>
      <c r="T61" s="231">
        <v>2.06</v>
      </c>
      <c r="U61" s="231">
        <v>2.54</v>
      </c>
      <c r="V61" s="221" t="str">
        <f t="shared" si="3"/>
        <v>43.18*25.4*11.43</v>
      </c>
      <c r="W61" s="223">
        <v>17</v>
      </c>
      <c r="X61" s="223">
        <v>10</v>
      </c>
      <c r="Y61" s="223">
        <v>4.5</v>
      </c>
      <c r="Z61" s="214">
        <f t="shared" si="4"/>
        <v>43.18</v>
      </c>
      <c r="AA61" s="214">
        <f t="shared" si="4"/>
        <v>25.4</v>
      </c>
      <c r="AB61" s="214">
        <f t="shared" si="4"/>
        <v>11.43</v>
      </c>
    </row>
    <row r="62" spans="1:28">
      <c r="A62" s="230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>
        <v>14</v>
      </c>
      <c r="M62" s="230"/>
      <c r="N62" s="230"/>
      <c r="O62" s="230"/>
      <c r="P62" s="230"/>
      <c r="Q62" s="230"/>
      <c r="R62" s="222"/>
      <c r="S62" s="222"/>
      <c r="T62" s="231"/>
      <c r="U62" s="231"/>
      <c r="V62" s="221"/>
      <c r="W62" s="223"/>
      <c r="X62" s="223"/>
      <c r="Y62" s="223"/>
    </row>
    <row r="63" spans="1:28">
      <c r="A63" s="230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22"/>
      <c r="S63" s="222"/>
      <c r="T63" s="231"/>
      <c r="U63" s="231"/>
      <c r="V63" s="221"/>
      <c r="W63" s="223"/>
      <c r="X63" s="223"/>
      <c r="Y63" s="223"/>
    </row>
    <row r="64" spans="1:28">
      <c r="A64" s="230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22"/>
      <c r="S64" s="222"/>
      <c r="T64" s="231"/>
      <c r="U64" s="231"/>
      <c r="V64" s="230"/>
    </row>
    <row r="65" spans="1:24" s="216" customFormat="1" ht="14.25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>
        <f>SUM(L19:L64)</f>
        <v>264</v>
      </c>
      <c r="M65" s="232">
        <f>SUM(M19:M64)</f>
        <v>0</v>
      </c>
      <c r="N65" s="232">
        <f>SUM(N19:N64)</f>
        <v>0</v>
      </c>
      <c r="O65" s="232">
        <f>SUM(O19:O64)</f>
        <v>0</v>
      </c>
      <c r="P65" s="232">
        <f>SUM(P19:P64)</f>
        <v>35</v>
      </c>
      <c r="Q65" s="232">
        <f>SUM(Q19:Q64)</f>
        <v>696</v>
      </c>
      <c r="R65" s="232"/>
      <c r="S65" s="305"/>
      <c r="T65" s="232">
        <f>SUM(T19:T64)</f>
        <v>78.02</v>
      </c>
      <c r="U65" s="305">
        <f>SUM(U19:U64)</f>
        <v>103.44000000000001</v>
      </c>
      <c r="V65" s="232"/>
    </row>
    <row r="66" spans="1:24" s="216" customFormat="1" ht="14.25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</row>
    <row r="67" spans="1:24">
      <c r="A67" s="223"/>
      <c r="B67" s="223"/>
      <c r="C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4"/>
      <c r="S67" s="224"/>
      <c r="T67" s="224"/>
      <c r="U67" s="224"/>
      <c r="V67" s="215"/>
    </row>
    <row r="68" spans="1:24">
      <c r="C68" s="234" t="s">
        <v>191</v>
      </c>
      <c r="D68" s="234" t="s">
        <v>181</v>
      </c>
      <c r="E68" s="234" t="s">
        <v>192</v>
      </c>
      <c r="F68" s="234" t="s">
        <v>193</v>
      </c>
      <c r="G68" s="234" t="s">
        <v>59</v>
      </c>
      <c r="H68" s="234" t="s">
        <v>27</v>
      </c>
      <c r="I68" s="234" t="s">
        <v>28</v>
      </c>
      <c r="J68" s="234" t="s">
        <v>29</v>
      </c>
      <c r="K68" s="234" t="s">
        <v>30</v>
      </c>
      <c r="L68" s="234"/>
      <c r="M68" s="234"/>
      <c r="N68" s="234"/>
      <c r="O68" s="234"/>
      <c r="P68" s="219" t="s">
        <v>31</v>
      </c>
      <c r="Q68" s="219" t="s">
        <v>32</v>
      </c>
    </row>
    <row r="69" spans="1:24">
      <c r="C69" s="235" t="s">
        <v>210</v>
      </c>
      <c r="D69" s="235" t="s">
        <v>222</v>
      </c>
      <c r="E69" s="235" t="s">
        <v>220</v>
      </c>
      <c r="F69" s="235" t="s">
        <v>232</v>
      </c>
      <c r="G69" s="230">
        <v>8</v>
      </c>
      <c r="H69" s="230">
        <v>25</v>
      </c>
      <c r="I69" s="230">
        <v>32</v>
      </c>
      <c r="J69" s="230">
        <v>31</v>
      </c>
      <c r="K69" s="230">
        <v>24</v>
      </c>
      <c r="L69" s="234"/>
      <c r="M69" s="234"/>
      <c r="N69" s="234"/>
      <c r="O69" s="234"/>
      <c r="P69" s="235">
        <v>5</v>
      </c>
      <c r="Q69" s="235">
        <v>120</v>
      </c>
      <c r="W69" s="214">
        <f>+SUM(G69:K69)</f>
        <v>120</v>
      </c>
      <c r="X69" s="214">
        <f>+Q69-W69</f>
        <v>0</v>
      </c>
    </row>
    <row r="70" spans="1:24">
      <c r="C70" s="235" t="s">
        <v>210</v>
      </c>
      <c r="D70" s="235" t="s">
        <v>222</v>
      </c>
      <c r="E70" s="235" t="s">
        <v>224</v>
      </c>
      <c r="F70" s="235" t="s">
        <v>262</v>
      </c>
      <c r="G70" s="230">
        <v>8</v>
      </c>
      <c r="H70" s="230">
        <v>25</v>
      </c>
      <c r="I70" s="230">
        <v>32</v>
      </c>
      <c r="J70" s="230">
        <v>31</v>
      </c>
      <c r="K70" s="230">
        <v>24</v>
      </c>
      <c r="L70" s="234"/>
      <c r="M70" s="234"/>
      <c r="N70" s="234"/>
      <c r="O70" s="234"/>
      <c r="P70" s="235">
        <v>5</v>
      </c>
      <c r="Q70" s="235">
        <v>120</v>
      </c>
    </row>
    <row r="71" spans="1:24">
      <c r="C71" s="235" t="s">
        <v>210</v>
      </c>
      <c r="D71" s="235" t="s">
        <v>222</v>
      </c>
      <c r="E71" s="235" t="s">
        <v>223</v>
      </c>
      <c r="F71" s="235" t="s">
        <v>258</v>
      </c>
      <c r="G71" s="230">
        <v>8</v>
      </c>
      <c r="H71" s="230">
        <v>25</v>
      </c>
      <c r="I71" s="230">
        <v>32</v>
      </c>
      <c r="J71" s="230">
        <v>31</v>
      </c>
      <c r="K71" s="230">
        <v>24</v>
      </c>
      <c r="L71" s="234"/>
      <c r="M71" s="234"/>
      <c r="N71" s="234"/>
      <c r="O71" s="234"/>
      <c r="P71" s="235">
        <v>5</v>
      </c>
      <c r="Q71" s="235">
        <v>120</v>
      </c>
    </row>
    <row r="72" spans="1:24">
      <c r="C72" s="235" t="s">
        <v>210</v>
      </c>
      <c r="D72" s="235" t="s">
        <v>225</v>
      </c>
      <c r="E72" s="235" t="s">
        <v>220</v>
      </c>
      <c r="F72" s="235" t="s">
        <v>232</v>
      </c>
      <c r="G72" s="230">
        <v>9</v>
      </c>
      <c r="H72" s="230">
        <v>19</v>
      </c>
      <c r="I72" s="230">
        <v>26</v>
      </c>
      <c r="J72" s="230">
        <v>26</v>
      </c>
      <c r="K72" s="230">
        <v>16</v>
      </c>
      <c r="L72" s="234"/>
      <c r="M72" s="234"/>
      <c r="N72" s="234"/>
      <c r="O72" s="234"/>
      <c r="P72" s="235">
        <v>5</v>
      </c>
      <c r="Q72" s="235">
        <v>96</v>
      </c>
    </row>
    <row r="73" spans="1:24">
      <c r="C73" s="235" t="s">
        <v>210</v>
      </c>
      <c r="D73" s="235" t="s">
        <v>225</v>
      </c>
      <c r="E73" s="235" t="s">
        <v>223</v>
      </c>
      <c r="F73" s="235" t="s">
        <v>258</v>
      </c>
      <c r="G73" s="230">
        <v>9</v>
      </c>
      <c r="H73" s="230">
        <v>19</v>
      </c>
      <c r="I73" s="230">
        <v>26</v>
      </c>
      <c r="J73" s="230">
        <v>26</v>
      </c>
      <c r="K73" s="230">
        <v>16</v>
      </c>
      <c r="L73" s="234"/>
      <c r="M73" s="234"/>
      <c r="N73" s="234"/>
      <c r="O73" s="234"/>
      <c r="P73" s="235">
        <v>5</v>
      </c>
      <c r="Q73" s="235">
        <v>96</v>
      </c>
    </row>
    <row r="74" spans="1:24">
      <c r="C74" s="235" t="s">
        <v>210</v>
      </c>
      <c r="D74" s="235" t="s">
        <v>226</v>
      </c>
      <c r="E74" s="235" t="s">
        <v>224</v>
      </c>
      <c r="F74" s="235" t="s">
        <v>262</v>
      </c>
      <c r="G74" s="230">
        <v>7</v>
      </c>
      <c r="H74" s="230">
        <v>14</v>
      </c>
      <c r="I74" s="230">
        <v>19</v>
      </c>
      <c r="J74" s="230">
        <v>18</v>
      </c>
      <c r="K74" s="230">
        <v>14</v>
      </c>
      <c r="L74" s="234"/>
      <c r="M74" s="234"/>
      <c r="N74" s="234"/>
      <c r="O74" s="234"/>
      <c r="P74" s="235">
        <v>5</v>
      </c>
      <c r="Q74" s="235">
        <v>72</v>
      </c>
    </row>
    <row r="75" spans="1:24">
      <c r="C75" s="235" t="s">
        <v>210</v>
      </c>
      <c r="D75" s="235" t="s">
        <v>226</v>
      </c>
      <c r="E75" s="235" t="s">
        <v>223</v>
      </c>
      <c r="F75" s="235" t="s">
        <v>258</v>
      </c>
      <c r="G75" s="230">
        <v>7</v>
      </c>
      <c r="H75" s="230">
        <v>14</v>
      </c>
      <c r="I75" s="230">
        <v>19</v>
      </c>
      <c r="J75" s="230">
        <v>18</v>
      </c>
      <c r="K75" s="230">
        <v>14</v>
      </c>
      <c r="L75" s="234"/>
      <c r="M75" s="234"/>
      <c r="N75" s="234"/>
      <c r="O75" s="234"/>
      <c r="P75" s="235">
        <v>5</v>
      </c>
      <c r="Q75" s="235">
        <v>72</v>
      </c>
    </row>
    <row r="76" spans="1:24">
      <c r="C76" s="235"/>
      <c r="D76" s="235"/>
      <c r="E76" s="235"/>
      <c r="F76" s="235"/>
      <c r="G76" s="230"/>
      <c r="H76" s="230"/>
      <c r="I76" s="230"/>
      <c r="J76" s="230"/>
      <c r="K76" s="230"/>
      <c r="L76" s="234"/>
      <c r="M76" s="234"/>
      <c r="N76" s="234"/>
      <c r="O76" s="234"/>
      <c r="P76" s="235"/>
      <c r="Q76" s="235"/>
    </row>
    <row r="77" spans="1:24"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</row>
    <row r="78" spans="1:24">
      <c r="C78" s="215"/>
      <c r="D78" s="215"/>
      <c r="E78" s="215"/>
      <c r="F78" s="215"/>
      <c r="G78" s="215"/>
      <c r="H78" s="215"/>
      <c r="I78" s="215"/>
      <c r="J78" s="218" t="s">
        <v>33</v>
      </c>
      <c r="K78" s="215"/>
      <c r="L78" s="218"/>
      <c r="M78" s="218"/>
      <c r="N78" s="218"/>
      <c r="O78" s="218"/>
      <c r="P78" s="218">
        <f>SUM(P69:P76)</f>
        <v>35</v>
      </c>
      <c r="Q78" s="218">
        <f>SUM(Q69:Q76)</f>
        <v>696</v>
      </c>
    </row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D18" xr:uid="{00000000-0009-0000-0000-000005000000}">
    <filterColumn colId="0" showButton="0"/>
    <filterColumn colId="1" showButton="0"/>
  </autoFilter>
  <mergeCells count="6">
    <mergeCell ref="A16:B16"/>
    <mergeCell ref="A18:B18"/>
    <mergeCell ref="A4:S4"/>
    <mergeCell ref="BS6:CG6"/>
    <mergeCell ref="A12:B12"/>
    <mergeCell ref="A14:B14"/>
  </mergeCells>
  <pageMargins left="0.24791666700000001" right="0.24791666700000001" top="0.98402777777777795" bottom="0.98402777777777795" header="0.51180555555555496" footer="0.51180555555555496"/>
  <pageSetup scale="58" fitToHeight="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6A1E-4DF8-4782-BEFE-F84EEBCE0D88}">
  <sheetPr>
    <pageSetUpPr fitToPage="1"/>
  </sheetPr>
  <dimension ref="A1:CG149"/>
  <sheetViews>
    <sheetView view="pageBreakPreview" topLeftCell="C45" zoomScale="85" zoomScaleNormal="70" zoomScaleSheetLayoutView="85" workbookViewId="0">
      <selection activeCell="S62" sqref="S62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0.2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23" width="11.25" style="214"/>
    <col min="24" max="27" width="11.25" style="214" customWidth="1"/>
    <col min="28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211</v>
      </c>
      <c r="G13" s="214" t="s">
        <v>176</v>
      </c>
    </row>
    <row r="14" spans="1:85">
      <c r="A14" s="291" t="s">
        <v>177</v>
      </c>
      <c r="B14" s="291"/>
      <c r="D14" s="214" t="str">
        <f>+B13</f>
        <v>EV161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21">
        <v>1</v>
      </c>
      <c r="B19" s="221">
        <v>1</v>
      </c>
      <c r="C19" s="221"/>
      <c r="D19" s="221" t="s">
        <v>219</v>
      </c>
      <c r="E19" s="221" t="s">
        <v>231</v>
      </c>
      <c r="F19" s="221" t="s">
        <v>232</v>
      </c>
      <c r="G19" s="221">
        <v>36</v>
      </c>
      <c r="H19" s="221"/>
      <c r="I19" s="221">
        <v>36</v>
      </c>
      <c r="J19" s="221"/>
      <c r="K19" s="221"/>
      <c r="L19" s="221"/>
      <c r="M19" s="221"/>
      <c r="N19" s="221"/>
      <c r="O19" s="221"/>
      <c r="P19" s="221">
        <v>1</v>
      </c>
      <c r="Q19" s="221">
        <v>36</v>
      </c>
      <c r="R19" s="222">
        <f>+T19/P19</f>
        <v>2.94</v>
      </c>
      <c r="S19" s="222">
        <f>+U19/P19</f>
        <v>3.64</v>
      </c>
      <c r="T19" s="222">
        <v>2.94</v>
      </c>
      <c r="U19" s="222">
        <v>3.64</v>
      </c>
      <c r="V19" s="221" t="str">
        <f>Z19&amp;"*"&amp;AA19&amp;"*"&amp;AB19</f>
        <v>40.64*38.1*11.43</v>
      </c>
      <c r="W19" s="223">
        <v>16</v>
      </c>
      <c r="X19" s="223">
        <v>15</v>
      </c>
      <c r="Y19" s="223">
        <v>4.5</v>
      </c>
      <c r="Z19" s="214">
        <f>+W19*2.54</f>
        <v>40.64</v>
      </c>
      <c r="AA19" s="214">
        <f t="shared" ref="AA19:AB34" si="0">+X19*2.54</f>
        <v>38.1</v>
      </c>
      <c r="AB19" s="214">
        <f t="shared" si="0"/>
        <v>11.43</v>
      </c>
    </row>
    <row r="20" spans="1:28">
      <c r="A20" s="221">
        <v>2</v>
      </c>
      <c r="B20" s="221">
        <v>2</v>
      </c>
      <c r="C20" s="221"/>
      <c r="D20" s="221"/>
      <c r="E20" s="221"/>
      <c r="F20" s="221"/>
      <c r="G20" s="221">
        <v>36</v>
      </c>
      <c r="H20" s="221"/>
      <c r="I20" s="221"/>
      <c r="J20" s="221">
        <v>36</v>
      </c>
      <c r="K20" s="221"/>
      <c r="L20" s="221"/>
      <c r="M20" s="221"/>
      <c r="N20" s="221"/>
      <c r="O20" s="221"/>
      <c r="P20" s="221">
        <v>1</v>
      </c>
      <c r="Q20" s="221">
        <v>36</v>
      </c>
      <c r="R20" s="222">
        <f t="shared" ref="R20:R51" si="1">+T20/P20</f>
        <v>3.14</v>
      </c>
      <c r="S20" s="222">
        <f t="shared" ref="S20:S51" si="2">+U20/P20</f>
        <v>3.84</v>
      </c>
      <c r="T20" s="222">
        <v>3.14</v>
      </c>
      <c r="U20" s="222">
        <v>3.84</v>
      </c>
      <c r="V20" s="221" t="str">
        <f t="shared" ref="V20:V52" si="3">Z20&amp;"*"&amp;AA20&amp;"*"&amp;AB20</f>
        <v>40.64*38.1*11.43</v>
      </c>
      <c r="W20" s="223">
        <v>16</v>
      </c>
      <c r="X20" s="223">
        <v>15</v>
      </c>
      <c r="Y20" s="223">
        <v>4.5</v>
      </c>
      <c r="Z20" s="214">
        <f t="shared" ref="Z20:AB52" si="4">+W20*2.54</f>
        <v>40.64</v>
      </c>
      <c r="AA20" s="214">
        <f t="shared" si="0"/>
        <v>38.1</v>
      </c>
      <c r="AB20" s="214">
        <f t="shared" si="0"/>
        <v>11.43</v>
      </c>
    </row>
    <row r="21" spans="1:28">
      <c r="A21" s="230">
        <v>3</v>
      </c>
      <c r="B21" s="230">
        <v>3</v>
      </c>
      <c r="C21" s="230"/>
      <c r="D21" s="230"/>
      <c r="E21" s="230"/>
      <c r="F21" s="230"/>
      <c r="G21" s="230">
        <v>36</v>
      </c>
      <c r="H21" s="230"/>
      <c r="I21" s="230"/>
      <c r="J21" s="230"/>
      <c r="K21" s="230">
        <v>36</v>
      </c>
      <c r="L21" s="230"/>
      <c r="M21" s="230"/>
      <c r="N21" s="230"/>
      <c r="O21" s="230"/>
      <c r="P21" s="230">
        <v>1</v>
      </c>
      <c r="Q21" s="230">
        <v>36</v>
      </c>
      <c r="R21" s="222">
        <f t="shared" si="1"/>
        <v>3.6</v>
      </c>
      <c r="S21" s="222">
        <f t="shared" si="2"/>
        <v>4.32</v>
      </c>
      <c r="T21" s="231">
        <v>3.6</v>
      </c>
      <c r="U21" s="231">
        <v>4.32</v>
      </c>
      <c r="V21" s="221" t="str">
        <f t="shared" si="3"/>
        <v>40.64*38.1*13.97</v>
      </c>
      <c r="W21" s="223">
        <v>16</v>
      </c>
      <c r="X21" s="223">
        <v>15</v>
      </c>
      <c r="Y21" s="223">
        <v>5.5</v>
      </c>
      <c r="Z21" s="214">
        <f t="shared" si="4"/>
        <v>40.64</v>
      </c>
      <c r="AA21" s="214">
        <f t="shared" si="0"/>
        <v>38.1</v>
      </c>
      <c r="AB21" s="214">
        <f t="shared" si="0"/>
        <v>13.97</v>
      </c>
    </row>
    <row r="22" spans="1:28">
      <c r="A22" s="230">
        <v>4</v>
      </c>
      <c r="B22" s="230">
        <v>4</v>
      </c>
      <c r="C22" s="230" t="s">
        <v>189</v>
      </c>
      <c r="D22" s="230"/>
      <c r="E22" s="230"/>
      <c r="F22" s="230"/>
      <c r="G22" s="230">
        <v>11</v>
      </c>
      <c r="H22" s="230">
        <v>11</v>
      </c>
      <c r="I22" s="230"/>
      <c r="J22" s="230"/>
      <c r="K22" s="230"/>
      <c r="L22" s="230"/>
      <c r="M22" s="230"/>
      <c r="N22" s="230"/>
      <c r="O22" s="230"/>
      <c r="P22" s="230">
        <v>1</v>
      </c>
      <c r="Q22" s="230">
        <v>11</v>
      </c>
      <c r="R22" s="222">
        <f t="shared" si="1"/>
        <v>0.68</v>
      </c>
      <c r="S22" s="222">
        <f t="shared" si="2"/>
        <v>1.18</v>
      </c>
      <c r="T22" s="231">
        <v>0.68</v>
      </c>
      <c r="U22" s="231">
        <v>1.18</v>
      </c>
      <c r="V22" s="221" t="str">
        <f t="shared" si="3"/>
        <v>40.64*22.86*8.89</v>
      </c>
      <c r="W22" s="223">
        <v>16</v>
      </c>
      <c r="X22" s="223">
        <v>9</v>
      </c>
      <c r="Y22" s="223">
        <v>3.5</v>
      </c>
      <c r="Z22" s="214">
        <f t="shared" si="4"/>
        <v>40.64</v>
      </c>
      <c r="AA22" s="214">
        <f t="shared" si="0"/>
        <v>22.86</v>
      </c>
      <c r="AB22" s="214">
        <f t="shared" si="0"/>
        <v>8.89</v>
      </c>
    </row>
    <row r="23" spans="1:28">
      <c r="A23" s="230">
        <v>5</v>
      </c>
      <c r="B23" s="230">
        <v>5</v>
      </c>
      <c r="C23" s="230" t="s">
        <v>189</v>
      </c>
      <c r="D23" s="230"/>
      <c r="E23" s="230"/>
      <c r="F23" s="230"/>
      <c r="G23" s="230">
        <v>18</v>
      </c>
      <c r="H23" s="230"/>
      <c r="I23" s="230">
        <v>18</v>
      </c>
      <c r="J23" s="230"/>
      <c r="K23" s="230"/>
      <c r="L23" s="230"/>
      <c r="M23" s="230"/>
      <c r="N23" s="230"/>
      <c r="O23" s="230"/>
      <c r="P23" s="230">
        <v>1</v>
      </c>
      <c r="Q23" s="230">
        <v>18</v>
      </c>
      <c r="R23" s="222">
        <f t="shared" si="1"/>
        <v>1.32</v>
      </c>
      <c r="S23" s="222">
        <f t="shared" si="2"/>
        <v>1.84</v>
      </c>
      <c r="T23" s="231">
        <v>1.32</v>
      </c>
      <c r="U23" s="231">
        <v>1.84</v>
      </c>
      <c r="V23" s="221" t="str">
        <f t="shared" si="3"/>
        <v>40.64*22.86*11.43</v>
      </c>
      <c r="W23" s="223">
        <v>16</v>
      </c>
      <c r="X23" s="223">
        <v>9</v>
      </c>
      <c r="Y23" s="223">
        <v>4.5</v>
      </c>
      <c r="Z23" s="214">
        <f t="shared" si="4"/>
        <v>40.64</v>
      </c>
      <c r="AA23" s="214">
        <f t="shared" si="0"/>
        <v>22.86</v>
      </c>
      <c r="AB23" s="214">
        <f t="shared" si="0"/>
        <v>11.43</v>
      </c>
    </row>
    <row r="24" spans="1:28">
      <c r="A24" s="230">
        <v>6</v>
      </c>
      <c r="B24" s="230">
        <v>6</v>
      </c>
      <c r="C24" s="230" t="s">
        <v>189</v>
      </c>
      <c r="D24" s="230"/>
      <c r="E24" s="230"/>
      <c r="F24" s="230"/>
      <c r="G24" s="230">
        <v>32</v>
      </c>
      <c r="H24" s="230"/>
      <c r="I24" s="230"/>
      <c r="J24" s="230">
        <v>32</v>
      </c>
      <c r="K24" s="230"/>
      <c r="L24" s="230"/>
      <c r="M24" s="230"/>
      <c r="N24" s="230"/>
      <c r="O24" s="230"/>
      <c r="P24" s="230">
        <v>1</v>
      </c>
      <c r="Q24" s="230">
        <v>32</v>
      </c>
      <c r="R24" s="222">
        <f t="shared" si="1"/>
        <v>2.6</v>
      </c>
      <c r="S24" s="222">
        <f t="shared" si="2"/>
        <v>3.3</v>
      </c>
      <c r="T24" s="231">
        <v>2.6</v>
      </c>
      <c r="U24" s="231">
        <v>3.3</v>
      </c>
      <c r="V24" s="221" t="str">
        <f t="shared" si="3"/>
        <v>40.64*39.37*10.16</v>
      </c>
      <c r="W24" s="223">
        <v>16</v>
      </c>
      <c r="X24" s="223">
        <v>15.5</v>
      </c>
      <c r="Y24" s="223">
        <v>4</v>
      </c>
      <c r="Z24" s="214">
        <f t="shared" si="4"/>
        <v>40.64</v>
      </c>
      <c r="AA24" s="214">
        <f t="shared" si="0"/>
        <v>39.369999999999997</v>
      </c>
      <c r="AB24" s="214">
        <f t="shared" si="0"/>
        <v>10.16</v>
      </c>
    </row>
    <row r="25" spans="1:28">
      <c r="A25" s="230">
        <v>7</v>
      </c>
      <c r="B25" s="230">
        <v>7</v>
      </c>
      <c r="C25" s="230" t="s">
        <v>189</v>
      </c>
      <c r="D25" s="230"/>
      <c r="E25" s="230"/>
      <c r="F25" s="230"/>
      <c r="G25" s="230">
        <v>13</v>
      </c>
      <c r="H25" s="230"/>
      <c r="I25" s="230"/>
      <c r="J25" s="230"/>
      <c r="K25" s="230">
        <v>13</v>
      </c>
      <c r="L25" s="230"/>
      <c r="M25" s="230"/>
      <c r="N25" s="230"/>
      <c r="O25" s="230"/>
      <c r="P25" s="230">
        <v>1</v>
      </c>
      <c r="Q25" s="230">
        <v>13</v>
      </c>
      <c r="R25" s="222">
        <f t="shared" si="1"/>
        <v>1.3</v>
      </c>
      <c r="S25" s="222">
        <f t="shared" si="2"/>
        <v>1.6</v>
      </c>
      <c r="T25" s="231">
        <v>1.3</v>
      </c>
      <c r="U25" s="231">
        <v>1.6</v>
      </c>
      <c r="V25" s="221" t="str">
        <f t="shared" si="3"/>
        <v>40.64*22.86*8.89</v>
      </c>
      <c r="W25" s="223">
        <v>16</v>
      </c>
      <c r="X25" s="223">
        <v>9</v>
      </c>
      <c r="Y25" s="223">
        <v>3.5</v>
      </c>
      <c r="Z25" s="214">
        <f t="shared" si="4"/>
        <v>40.64</v>
      </c>
      <c r="AA25" s="214">
        <f t="shared" si="0"/>
        <v>22.86</v>
      </c>
      <c r="AB25" s="214">
        <f t="shared" si="0"/>
        <v>8.89</v>
      </c>
    </row>
    <row r="26" spans="1:28">
      <c r="A26" s="230">
        <v>8</v>
      </c>
      <c r="B26" s="230">
        <v>8</v>
      </c>
      <c r="C26" s="230" t="s">
        <v>189</v>
      </c>
      <c r="D26" s="230"/>
      <c r="E26" s="230"/>
      <c r="F26" s="230"/>
      <c r="G26" s="230">
        <v>25</v>
      </c>
      <c r="H26" s="230"/>
      <c r="I26" s="230"/>
      <c r="J26" s="230"/>
      <c r="K26" s="230"/>
      <c r="L26" s="230">
        <v>25</v>
      </c>
      <c r="M26" s="230"/>
      <c r="N26" s="230"/>
      <c r="O26" s="230"/>
      <c r="P26" s="230">
        <v>1</v>
      </c>
      <c r="Q26" s="230">
        <v>25</v>
      </c>
      <c r="R26" s="222">
        <f t="shared" si="1"/>
        <v>2.64</v>
      </c>
      <c r="S26" s="222">
        <f t="shared" si="2"/>
        <v>3.34</v>
      </c>
      <c r="T26" s="231">
        <v>2.64</v>
      </c>
      <c r="U26" s="231">
        <v>3.34</v>
      </c>
      <c r="V26" s="221" t="str">
        <f t="shared" si="3"/>
        <v>40.64*39.37*10.16</v>
      </c>
      <c r="W26" s="223">
        <v>16</v>
      </c>
      <c r="X26" s="223">
        <v>15.5</v>
      </c>
      <c r="Y26" s="223">
        <v>4</v>
      </c>
      <c r="Z26" s="214">
        <f t="shared" si="4"/>
        <v>40.64</v>
      </c>
      <c r="AA26" s="214">
        <f t="shared" si="0"/>
        <v>39.369999999999997</v>
      </c>
      <c r="AB26" s="214">
        <f t="shared" si="0"/>
        <v>10.16</v>
      </c>
    </row>
    <row r="27" spans="1:28">
      <c r="A27" s="230">
        <v>9</v>
      </c>
      <c r="B27" s="230">
        <v>9</v>
      </c>
      <c r="C27" s="230" t="s">
        <v>189</v>
      </c>
      <c r="D27" s="230"/>
      <c r="E27" s="230"/>
      <c r="F27" s="230"/>
      <c r="G27" s="230">
        <v>9</v>
      </c>
      <c r="H27" s="230"/>
      <c r="I27" s="230"/>
      <c r="J27" s="230"/>
      <c r="K27" s="230"/>
      <c r="L27" s="230"/>
      <c r="M27" s="230">
        <v>9</v>
      </c>
      <c r="N27" s="230"/>
      <c r="O27" s="230"/>
      <c r="P27" s="230">
        <v>1</v>
      </c>
      <c r="Q27" s="230">
        <v>9</v>
      </c>
      <c r="R27" s="222">
        <f t="shared" si="1"/>
        <v>1.06</v>
      </c>
      <c r="S27" s="222">
        <f t="shared" si="2"/>
        <v>136</v>
      </c>
      <c r="T27" s="231">
        <v>1.06</v>
      </c>
      <c r="U27" s="231">
        <v>136</v>
      </c>
      <c r="V27" s="221" t="str">
        <f t="shared" si="3"/>
        <v>40.64*22.86*8.89</v>
      </c>
      <c r="W27" s="223">
        <v>16</v>
      </c>
      <c r="X27" s="223">
        <v>9</v>
      </c>
      <c r="Y27" s="223">
        <v>3.5</v>
      </c>
      <c r="Z27" s="214">
        <f t="shared" si="4"/>
        <v>40.64</v>
      </c>
      <c r="AA27" s="214">
        <f t="shared" si="0"/>
        <v>22.86</v>
      </c>
      <c r="AB27" s="214">
        <f t="shared" si="0"/>
        <v>8.89</v>
      </c>
    </row>
    <row r="28" spans="1:28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22"/>
      <c r="S28" s="222"/>
      <c r="T28" s="231"/>
      <c r="U28" s="231"/>
      <c r="V28" s="221"/>
      <c r="W28" s="223"/>
      <c r="X28" s="223"/>
      <c r="Y28" s="223"/>
      <c r="Z28" s="214">
        <f t="shared" si="4"/>
        <v>0</v>
      </c>
      <c r="AA28" s="214">
        <f t="shared" si="0"/>
        <v>0</v>
      </c>
      <c r="AB28" s="214">
        <f t="shared" si="0"/>
        <v>0</v>
      </c>
    </row>
    <row r="29" spans="1:28">
      <c r="A29" s="230">
        <v>10</v>
      </c>
      <c r="B29" s="230">
        <v>10</v>
      </c>
      <c r="C29" s="230"/>
      <c r="D29" s="230" t="s">
        <v>227</v>
      </c>
      <c r="E29" s="230" t="s">
        <v>231</v>
      </c>
      <c r="F29" s="230" t="s">
        <v>232</v>
      </c>
      <c r="G29" s="230">
        <v>36</v>
      </c>
      <c r="H29" s="230"/>
      <c r="I29" s="230"/>
      <c r="J29" s="230">
        <v>36</v>
      </c>
      <c r="K29" s="230"/>
      <c r="L29" s="230"/>
      <c r="M29" s="230"/>
      <c r="N29" s="230"/>
      <c r="O29" s="230"/>
      <c r="P29" s="230">
        <v>1</v>
      </c>
      <c r="Q29" s="230">
        <v>36</v>
      </c>
      <c r="R29" s="222">
        <f t="shared" si="1"/>
        <v>5.56</v>
      </c>
      <c r="S29" s="222">
        <f t="shared" si="2"/>
        <v>6.42</v>
      </c>
      <c r="T29" s="231">
        <v>5.56</v>
      </c>
      <c r="U29" s="231">
        <v>6.42</v>
      </c>
      <c r="V29" s="221" t="str">
        <f t="shared" si="3"/>
        <v>50.8*43.18*13.97</v>
      </c>
      <c r="W29" s="223">
        <v>20</v>
      </c>
      <c r="X29" s="223">
        <v>17</v>
      </c>
      <c r="Y29" s="223">
        <v>5.5</v>
      </c>
      <c r="Z29" s="214">
        <f t="shared" si="4"/>
        <v>50.8</v>
      </c>
      <c r="AA29" s="214">
        <f t="shared" si="0"/>
        <v>43.18</v>
      </c>
      <c r="AB29" s="214">
        <f t="shared" si="0"/>
        <v>13.97</v>
      </c>
    </row>
    <row r="30" spans="1:28">
      <c r="A30" s="230">
        <v>11</v>
      </c>
      <c r="B30" s="230">
        <v>11</v>
      </c>
      <c r="C30" s="230" t="s">
        <v>189</v>
      </c>
      <c r="D30" s="230"/>
      <c r="E30" s="230"/>
      <c r="F30" s="230"/>
      <c r="G30" s="230">
        <v>34</v>
      </c>
      <c r="H30" s="230"/>
      <c r="I30" s="230">
        <v>34</v>
      </c>
      <c r="J30" s="230"/>
      <c r="K30" s="230"/>
      <c r="L30" s="230"/>
      <c r="M30" s="230"/>
      <c r="N30" s="230"/>
      <c r="O30" s="230"/>
      <c r="P30" s="230">
        <v>1</v>
      </c>
      <c r="Q30" s="230">
        <v>34</v>
      </c>
      <c r="R30" s="222">
        <f t="shared" si="1"/>
        <v>4.84</v>
      </c>
      <c r="S30" s="222">
        <f t="shared" si="2"/>
        <v>5.7</v>
      </c>
      <c r="T30" s="231">
        <v>4.84</v>
      </c>
      <c r="U30" s="231">
        <v>5.7</v>
      </c>
      <c r="V30" s="221" t="str">
        <f t="shared" si="3"/>
        <v>50.8*43.18*13.97</v>
      </c>
      <c r="W30" s="223">
        <v>20</v>
      </c>
      <c r="X30" s="223">
        <v>17</v>
      </c>
      <c r="Y30" s="223">
        <v>5.5</v>
      </c>
      <c r="Z30" s="214">
        <f t="shared" si="4"/>
        <v>50.8</v>
      </c>
      <c r="AA30" s="214">
        <f t="shared" si="0"/>
        <v>43.18</v>
      </c>
      <c r="AB30" s="214">
        <f t="shared" si="0"/>
        <v>13.97</v>
      </c>
    </row>
    <row r="31" spans="1:28">
      <c r="A31" s="230">
        <v>12</v>
      </c>
      <c r="B31" s="230">
        <v>12</v>
      </c>
      <c r="C31" s="230" t="s">
        <v>189</v>
      </c>
      <c r="D31" s="230"/>
      <c r="E31" s="230"/>
      <c r="F31" s="230"/>
      <c r="G31" s="230">
        <v>28</v>
      </c>
      <c r="H31" s="230"/>
      <c r="I31" s="230"/>
      <c r="J31" s="230"/>
      <c r="K31" s="230">
        <v>28</v>
      </c>
      <c r="L31" s="230"/>
      <c r="M31" s="230"/>
      <c r="N31" s="230"/>
      <c r="O31" s="230"/>
      <c r="P31" s="230">
        <v>1</v>
      </c>
      <c r="Q31" s="230">
        <v>28</v>
      </c>
      <c r="R31" s="222">
        <f t="shared" si="1"/>
        <v>4.7399999999999993</v>
      </c>
      <c r="S31" s="222">
        <f t="shared" si="2"/>
        <v>5.6</v>
      </c>
      <c r="T31" s="231">
        <v>4.7399999999999993</v>
      </c>
      <c r="U31" s="231">
        <v>5.6</v>
      </c>
      <c r="V31" s="221" t="str">
        <f t="shared" si="3"/>
        <v>50.8*43.18*13.97</v>
      </c>
      <c r="W31" s="223">
        <v>20</v>
      </c>
      <c r="X31" s="223">
        <v>17</v>
      </c>
      <c r="Y31" s="223">
        <v>5.5</v>
      </c>
      <c r="Z31" s="214">
        <f t="shared" si="4"/>
        <v>50.8</v>
      </c>
      <c r="AA31" s="214">
        <f t="shared" si="0"/>
        <v>43.18</v>
      </c>
      <c r="AB31" s="214">
        <f t="shared" si="0"/>
        <v>13.97</v>
      </c>
    </row>
    <row r="32" spans="1:28">
      <c r="A32" s="230">
        <v>13</v>
      </c>
      <c r="B32" s="230">
        <v>13</v>
      </c>
      <c r="C32" s="230" t="s">
        <v>189</v>
      </c>
      <c r="D32" s="230"/>
      <c r="E32" s="230"/>
      <c r="F32" s="230"/>
      <c r="G32" s="230">
        <v>13</v>
      </c>
      <c r="H32" s="230"/>
      <c r="I32" s="230"/>
      <c r="J32" s="230"/>
      <c r="K32" s="230"/>
      <c r="L32" s="230">
        <v>13</v>
      </c>
      <c r="M32" s="230"/>
      <c r="N32" s="230"/>
      <c r="O32" s="230"/>
      <c r="P32" s="230">
        <v>1</v>
      </c>
      <c r="Q32" s="230">
        <v>13</v>
      </c>
      <c r="R32" s="222">
        <f t="shared" si="1"/>
        <v>1.9299999999999997</v>
      </c>
      <c r="S32" s="222">
        <f t="shared" si="2"/>
        <v>2.78</v>
      </c>
      <c r="T32" s="231">
        <v>1.9299999999999997</v>
      </c>
      <c r="U32" s="231">
        <v>2.78</v>
      </c>
      <c r="V32" s="221" t="str">
        <f t="shared" si="3"/>
        <v>43.18*25.4*11.43</v>
      </c>
      <c r="W32" s="223">
        <v>17</v>
      </c>
      <c r="X32" s="223">
        <v>10</v>
      </c>
      <c r="Y32" s="223">
        <v>4.5</v>
      </c>
      <c r="Z32" s="214">
        <f t="shared" si="4"/>
        <v>43.18</v>
      </c>
      <c r="AA32" s="214">
        <f t="shared" si="0"/>
        <v>25.4</v>
      </c>
      <c r="AB32" s="214">
        <f t="shared" si="0"/>
        <v>11.43</v>
      </c>
    </row>
    <row r="33" spans="1:28">
      <c r="A33" s="230" t="s">
        <v>264</v>
      </c>
      <c r="B33" s="230"/>
      <c r="C33" s="230" t="s">
        <v>198</v>
      </c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22"/>
      <c r="S33" s="222"/>
      <c r="T33" s="231"/>
      <c r="U33" s="231"/>
      <c r="V33" s="221"/>
      <c r="W33" s="223">
        <v>19</v>
      </c>
      <c r="X33" s="223">
        <v>11</v>
      </c>
      <c r="Y33" s="223">
        <v>8.5</v>
      </c>
      <c r="Z33" s="214">
        <f t="shared" si="4"/>
        <v>48.26</v>
      </c>
      <c r="AA33" s="214">
        <f t="shared" si="0"/>
        <v>27.94</v>
      </c>
      <c r="AB33" s="214">
        <f t="shared" si="0"/>
        <v>21.59</v>
      </c>
    </row>
    <row r="34" spans="1:28">
      <c r="A34" s="230">
        <v>14</v>
      </c>
      <c r="B34" s="230">
        <v>14</v>
      </c>
      <c r="C34" s="230" t="s">
        <v>190</v>
      </c>
      <c r="D34" s="230"/>
      <c r="E34" s="230"/>
      <c r="F34" s="230"/>
      <c r="G34" s="230">
        <v>4</v>
      </c>
      <c r="H34" s="230">
        <v>4</v>
      </c>
      <c r="I34" s="230"/>
      <c r="J34" s="230"/>
      <c r="K34" s="230"/>
      <c r="L34" s="230"/>
      <c r="M34" s="230"/>
      <c r="N34" s="230"/>
      <c r="O34" s="230"/>
      <c r="P34" s="230">
        <v>1</v>
      </c>
      <c r="Q34" s="230">
        <v>4</v>
      </c>
      <c r="R34" s="222">
        <f t="shared" si="1"/>
        <v>0.52</v>
      </c>
      <c r="S34" s="222">
        <f t="shared" si="2"/>
        <v>0.8</v>
      </c>
      <c r="T34" s="231">
        <v>0.52</v>
      </c>
      <c r="U34" s="231">
        <v>0.8</v>
      </c>
      <c r="V34" s="221" t="str">
        <f t="shared" si="3"/>
        <v>25.4*22.86*8.89</v>
      </c>
      <c r="W34" s="223">
        <v>10</v>
      </c>
      <c r="X34" s="223">
        <v>9</v>
      </c>
      <c r="Y34" s="223">
        <v>3.5</v>
      </c>
      <c r="Z34" s="214">
        <f t="shared" si="4"/>
        <v>25.4</v>
      </c>
      <c r="AA34" s="214">
        <f t="shared" si="0"/>
        <v>22.86</v>
      </c>
      <c r="AB34" s="214">
        <f t="shared" si="0"/>
        <v>8.89</v>
      </c>
    </row>
    <row r="35" spans="1:28">
      <c r="A35" s="230">
        <v>15</v>
      </c>
      <c r="B35" s="230">
        <v>15</v>
      </c>
      <c r="C35" s="230" t="s">
        <v>190</v>
      </c>
      <c r="D35" s="230"/>
      <c r="E35" s="230"/>
      <c r="F35" s="230"/>
      <c r="G35" s="230">
        <v>3</v>
      </c>
      <c r="H35" s="230"/>
      <c r="I35" s="230"/>
      <c r="J35" s="230">
        <v>3</v>
      </c>
      <c r="K35" s="230"/>
      <c r="L35" s="230"/>
      <c r="M35" s="230"/>
      <c r="N35" s="230"/>
      <c r="O35" s="230"/>
      <c r="P35" s="230"/>
      <c r="Q35" s="230">
        <v>3</v>
      </c>
      <c r="R35" s="222"/>
      <c r="S35" s="222"/>
      <c r="T35" s="231">
        <v>0.43999999999999995</v>
      </c>
      <c r="U35" s="231">
        <v>0.72</v>
      </c>
      <c r="V35" s="221" t="str">
        <f t="shared" si="3"/>
        <v>25.4*22.86*8.89</v>
      </c>
      <c r="W35" s="223">
        <v>10</v>
      </c>
      <c r="X35" s="223">
        <v>9</v>
      </c>
      <c r="Y35" s="223">
        <v>3.5</v>
      </c>
      <c r="Z35" s="214">
        <f t="shared" si="4"/>
        <v>25.4</v>
      </c>
      <c r="AA35" s="214">
        <f t="shared" si="4"/>
        <v>22.86</v>
      </c>
      <c r="AB35" s="214">
        <f t="shared" si="4"/>
        <v>8.89</v>
      </c>
    </row>
    <row r="36" spans="1:28">
      <c r="A36" s="230">
        <v>16</v>
      </c>
      <c r="B36" s="230">
        <v>16</v>
      </c>
      <c r="C36" s="230" t="s">
        <v>190</v>
      </c>
      <c r="D36" s="230"/>
      <c r="E36" s="230"/>
      <c r="F36" s="230"/>
      <c r="G36" s="230">
        <v>2</v>
      </c>
      <c r="H36" s="230"/>
      <c r="I36" s="230"/>
      <c r="J36" s="230"/>
      <c r="K36" s="230"/>
      <c r="L36" s="230"/>
      <c r="M36" s="230">
        <v>2</v>
      </c>
      <c r="N36" s="230"/>
      <c r="O36" s="230"/>
      <c r="P36" s="230"/>
      <c r="Q36" s="230">
        <v>2</v>
      </c>
      <c r="R36" s="222"/>
      <c r="S36" s="222"/>
      <c r="T36" s="231">
        <v>0.38</v>
      </c>
      <c r="U36" s="231">
        <v>0.66</v>
      </c>
      <c r="V36" s="221" t="str">
        <f t="shared" si="3"/>
        <v>25.4*22.86*8.89</v>
      </c>
      <c r="W36" s="223">
        <v>10</v>
      </c>
      <c r="X36" s="223">
        <v>9</v>
      </c>
      <c r="Y36" s="223">
        <v>3.5</v>
      </c>
      <c r="Z36" s="214">
        <f t="shared" si="4"/>
        <v>25.4</v>
      </c>
      <c r="AA36" s="214">
        <f t="shared" si="4"/>
        <v>22.86</v>
      </c>
      <c r="AB36" s="214">
        <f t="shared" si="4"/>
        <v>8.89</v>
      </c>
    </row>
    <row r="37" spans="1:28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22"/>
      <c r="S37" s="222"/>
      <c r="T37" s="231"/>
      <c r="U37" s="231"/>
      <c r="V37" s="221"/>
      <c r="W37" s="223"/>
      <c r="X37" s="223"/>
      <c r="Y37" s="223"/>
      <c r="Z37" s="214">
        <f t="shared" si="4"/>
        <v>0</v>
      </c>
      <c r="AA37" s="214">
        <f t="shared" si="4"/>
        <v>0</v>
      </c>
      <c r="AB37" s="214">
        <f t="shared" si="4"/>
        <v>0</v>
      </c>
    </row>
    <row r="38" spans="1:28">
      <c r="A38" s="230">
        <v>17</v>
      </c>
      <c r="B38" s="230">
        <v>17</v>
      </c>
      <c r="C38" s="230" t="s">
        <v>189</v>
      </c>
      <c r="D38" s="230" t="s">
        <v>228</v>
      </c>
      <c r="E38" s="230" t="s">
        <v>267</v>
      </c>
      <c r="F38" s="230" t="s">
        <v>268</v>
      </c>
      <c r="G38" s="230">
        <v>19</v>
      </c>
      <c r="H38" s="230"/>
      <c r="I38" s="230">
        <v>19</v>
      </c>
      <c r="J38" s="230"/>
      <c r="K38" s="230"/>
      <c r="L38" s="230"/>
      <c r="M38" s="230"/>
      <c r="N38" s="230"/>
      <c r="O38" s="230"/>
      <c r="P38" s="230">
        <v>1</v>
      </c>
      <c r="Q38" s="230">
        <v>19</v>
      </c>
      <c r="R38" s="222">
        <f t="shared" si="1"/>
        <v>3.21</v>
      </c>
      <c r="S38" s="222">
        <f t="shared" si="2"/>
        <v>3.76</v>
      </c>
      <c r="T38" s="231">
        <v>3.21</v>
      </c>
      <c r="U38" s="231">
        <v>3.76</v>
      </c>
      <c r="V38" s="221" t="str">
        <f t="shared" si="3"/>
        <v>40.64*36.83*15.24</v>
      </c>
      <c r="W38" s="223">
        <v>16</v>
      </c>
      <c r="X38" s="223">
        <v>14.5</v>
      </c>
      <c r="Y38" s="223">
        <v>6</v>
      </c>
      <c r="Z38" s="214">
        <f t="shared" si="4"/>
        <v>40.64</v>
      </c>
      <c r="AA38" s="214">
        <f t="shared" si="4"/>
        <v>36.83</v>
      </c>
      <c r="AB38" s="214">
        <f t="shared" si="4"/>
        <v>15.24</v>
      </c>
    </row>
    <row r="39" spans="1:28">
      <c r="A39" s="230">
        <v>18</v>
      </c>
      <c r="B39" s="230">
        <v>18</v>
      </c>
      <c r="C39" s="230" t="s">
        <v>189</v>
      </c>
      <c r="D39" s="230"/>
      <c r="E39" s="230"/>
      <c r="F39" s="230"/>
      <c r="G39" s="230">
        <v>23</v>
      </c>
      <c r="H39" s="230"/>
      <c r="I39" s="230"/>
      <c r="J39" s="230">
        <v>23</v>
      </c>
      <c r="K39" s="230"/>
      <c r="L39" s="230"/>
      <c r="M39" s="230"/>
      <c r="N39" s="230"/>
      <c r="O39" s="230"/>
      <c r="P39" s="230">
        <v>1</v>
      </c>
      <c r="Q39" s="230">
        <v>23</v>
      </c>
      <c r="R39" s="222">
        <f t="shared" si="1"/>
        <v>4.08</v>
      </c>
      <c r="S39" s="222">
        <f t="shared" si="2"/>
        <v>4.6399999999999997</v>
      </c>
      <c r="T39" s="231">
        <v>4.08</v>
      </c>
      <c r="U39" s="231">
        <v>4.6399999999999997</v>
      </c>
      <c r="V39" s="221" t="str">
        <f t="shared" si="3"/>
        <v>40.64*35.56*17.78</v>
      </c>
      <c r="W39" s="223">
        <v>16</v>
      </c>
      <c r="X39" s="223">
        <v>14</v>
      </c>
      <c r="Y39" s="223">
        <v>7</v>
      </c>
      <c r="Z39" s="214">
        <f t="shared" si="4"/>
        <v>40.64</v>
      </c>
      <c r="AA39" s="214">
        <f t="shared" si="4"/>
        <v>35.56</v>
      </c>
      <c r="AB39" s="214">
        <f t="shared" si="4"/>
        <v>17.78</v>
      </c>
    </row>
    <row r="40" spans="1:28">
      <c r="A40" s="230">
        <v>19</v>
      </c>
      <c r="B40" s="230">
        <v>19</v>
      </c>
      <c r="C40" s="230" t="s">
        <v>189</v>
      </c>
      <c r="D40" s="230"/>
      <c r="E40" s="230"/>
      <c r="F40" s="230"/>
      <c r="G40" s="230">
        <v>16</v>
      </c>
      <c r="H40" s="230"/>
      <c r="I40" s="230"/>
      <c r="J40" s="230"/>
      <c r="K40" s="230">
        <v>16</v>
      </c>
      <c r="L40" s="230"/>
      <c r="M40" s="230"/>
      <c r="N40" s="230"/>
      <c r="O40" s="230"/>
      <c r="P40" s="230">
        <v>1</v>
      </c>
      <c r="Q40" s="230">
        <v>16</v>
      </c>
      <c r="R40" s="222">
        <f t="shared" si="1"/>
        <v>3.0999999999999996</v>
      </c>
      <c r="S40" s="222">
        <f t="shared" si="2"/>
        <v>3.8</v>
      </c>
      <c r="T40" s="231">
        <v>3.0999999999999996</v>
      </c>
      <c r="U40" s="231">
        <v>3.8</v>
      </c>
      <c r="V40" s="221" t="str">
        <f t="shared" si="3"/>
        <v>46.99*40.64*15.24</v>
      </c>
      <c r="W40" s="223">
        <v>18.5</v>
      </c>
      <c r="X40" s="223">
        <v>16</v>
      </c>
      <c r="Y40" s="223">
        <v>6</v>
      </c>
      <c r="Z40" s="214">
        <f t="shared" si="4"/>
        <v>46.99</v>
      </c>
      <c r="AA40" s="214">
        <f t="shared" si="4"/>
        <v>40.64</v>
      </c>
      <c r="AB40" s="214">
        <f t="shared" si="4"/>
        <v>15.24</v>
      </c>
    </row>
    <row r="41" spans="1:28">
      <c r="A41" s="230">
        <v>20</v>
      </c>
      <c r="B41" s="230">
        <v>20</v>
      </c>
      <c r="C41" s="230" t="s">
        <v>189</v>
      </c>
      <c r="D41" s="230"/>
      <c r="E41" s="230"/>
      <c r="F41" s="230"/>
      <c r="G41" s="230">
        <v>9</v>
      </c>
      <c r="H41" s="230"/>
      <c r="I41" s="230"/>
      <c r="J41" s="230"/>
      <c r="K41" s="230"/>
      <c r="L41" s="230">
        <v>9</v>
      </c>
      <c r="M41" s="230"/>
      <c r="N41" s="230"/>
      <c r="O41" s="230"/>
      <c r="P41" s="230">
        <v>1</v>
      </c>
      <c r="Q41" s="230">
        <v>9</v>
      </c>
      <c r="R41" s="222">
        <f t="shared" si="1"/>
        <v>1.85</v>
      </c>
      <c r="S41" s="222">
        <f t="shared" si="2"/>
        <v>2.5</v>
      </c>
      <c r="T41" s="231">
        <v>1.85</v>
      </c>
      <c r="U41" s="231">
        <v>2.5</v>
      </c>
      <c r="V41" s="221" t="str">
        <f t="shared" si="3"/>
        <v>46.99*40.64*11.43</v>
      </c>
      <c r="W41" s="223">
        <v>18.5</v>
      </c>
      <c r="X41" s="223">
        <v>16</v>
      </c>
      <c r="Y41" s="223">
        <v>4.5</v>
      </c>
      <c r="Z41" s="214">
        <f t="shared" si="4"/>
        <v>46.99</v>
      </c>
      <c r="AA41" s="214">
        <f t="shared" si="4"/>
        <v>40.64</v>
      </c>
      <c r="AB41" s="214">
        <f t="shared" si="4"/>
        <v>11.43</v>
      </c>
    </row>
    <row r="42" spans="1:28">
      <c r="A42" s="230" t="s">
        <v>265</v>
      </c>
      <c r="B42" s="230"/>
      <c r="C42" s="230" t="s">
        <v>198</v>
      </c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22"/>
      <c r="S42" s="222"/>
      <c r="T42" s="231"/>
      <c r="U42" s="231"/>
      <c r="V42" s="221"/>
      <c r="W42" s="223">
        <v>19</v>
      </c>
      <c r="X42" s="223">
        <v>11</v>
      </c>
      <c r="Y42" s="223">
        <v>4.5</v>
      </c>
      <c r="Z42" s="214">
        <f t="shared" si="4"/>
        <v>48.26</v>
      </c>
      <c r="AA42" s="214">
        <f t="shared" si="4"/>
        <v>27.94</v>
      </c>
      <c r="AB42" s="214">
        <f t="shared" si="4"/>
        <v>11.43</v>
      </c>
    </row>
    <row r="43" spans="1:28">
      <c r="A43" s="230">
        <v>21</v>
      </c>
      <c r="B43" s="230">
        <v>21</v>
      </c>
      <c r="C43" s="230" t="s">
        <v>190</v>
      </c>
      <c r="D43" s="230"/>
      <c r="E43" s="230"/>
      <c r="F43" s="230"/>
      <c r="G43" s="230">
        <v>2</v>
      </c>
      <c r="H43" s="230">
        <v>2</v>
      </c>
      <c r="I43" s="230"/>
      <c r="J43" s="230"/>
      <c r="K43" s="230"/>
      <c r="L43" s="230"/>
      <c r="M43" s="230"/>
      <c r="N43" s="230"/>
      <c r="O43" s="230"/>
      <c r="P43" s="230">
        <v>1</v>
      </c>
      <c r="Q43" s="230">
        <v>2</v>
      </c>
      <c r="R43" s="222">
        <f t="shared" si="1"/>
        <v>0.32</v>
      </c>
      <c r="S43" s="222">
        <f t="shared" si="2"/>
        <v>0.52</v>
      </c>
      <c r="T43" s="231">
        <v>0.32</v>
      </c>
      <c r="U43" s="231">
        <v>0.52</v>
      </c>
      <c r="V43" s="221" t="str">
        <f t="shared" si="3"/>
        <v>22.86*22.86*7.62</v>
      </c>
      <c r="W43" s="223">
        <v>9</v>
      </c>
      <c r="X43" s="223">
        <v>9</v>
      </c>
      <c r="Y43" s="223">
        <v>3</v>
      </c>
      <c r="Z43" s="214">
        <f t="shared" si="4"/>
        <v>22.86</v>
      </c>
      <c r="AA43" s="214">
        <f t="shared" si="4"/>
        <v>22.86</v>
      </c>
      <c r="AB43" s="214">
        <f t="shared" si="4"/>
        <v>7.62</v>
      </c>
    </row>
    <row r="44" spans="1:28">
      <c r="A44" s="230">
        <v>22</v>
      </c>
      <c r="B44" s="230">
        <v>22</v>
      </c>
      <c r="C44" s="230" t="s">
        <v>190</v>
      </c>
      <c r="D44" s="230"/>
      <c r="E44" s="230"/>
      <c r="F44" s="230"/>
      <c r="G44" s="230">
        <v>3</v>
      </c>
      <c r="H44" s="230"/>
      <c r="I44" s="230"/>
      <c r="J44" s="230"/>
      <c r="K44" s="230"/>
      <c r="L44" s="230"/>
      <c r="M44" s="230">
        <v>3</v>
      </c>
      <c r="N44" s="230"/>
      <c r="O44" s="230"/>
      <c r="P44" s="230"/>
      <c r="Q44" s="230">
        <v>3</v>
      </c>
      <c r="R44" s="222"/>
      <c r="S44" s="222"/>
      <c r="T44" s="231">
        <v>0.7</v>
      </c>
      <c r="U44" s="231">
        <v>0.9</v>
      </c>
      <c r="V44" s="221" t="str">
        <f t="shared" si="3"/>
        <v>22.86*22.86*7.62</v>
      </c>
      <c r="W44" s="223">
        <v>9</v>
      </c>
      <c r="X44" s="223">
        <v>9</v>
      </c>
      <c r="Y44" s="223">
        <v>3</v>
      </c>
      <c r="Z44" s="214">
        <f t="shared" si="4"/>
        <v>22.86</v>
      </c>
      <c r="AA44" s="214">
        <f t="shared" si="4"/>
        <v>22.86</v>
      </c>
      <c r="AB44" s="214">
        <f t="shared" si="4"/>
        <v>7.62</v>
      </c>
    </row>
    <row r="45" spans="1:28">
      <c r="A45" s="230"/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22"/>
      <c r="S45" s="222"/>
      <c r="T45" s="231"/>
      <c r="U45" s="231"/>
      <c r="V45" s="221"/>
      <c r="W45" s="223"/>
      <c r="X45" s="223"/>
      <c r="Y45" s="223"/>
      <c r="Z45" s="214">
        <f t="shared" si="4"/>
        <v>0</v>
      </c>
      <c r="AA45" s="214">
        <f t="shared" si="4"/>
        <v>0</v>
      </c>
      <c r="AB45" s="214">
        <f t="shared" si="4"/>
        <v>0</v>
      </c>
    </row>
    <row r="46" spans="1:28">
      <c r="A46" s="230">
        <v>23</v>
      </c>
      <c r="B46" s="230">
        <v>23</v>
      </c>
      <c r="C46" s="230" t="s">
        <v>189</v>
      </c>
      <c r="D46" s="230" t="s">
        <v>228</v>
      </c>
      <c r="E46" s="230" t="s">
        <v>257</v>
      </c>
      <c r="F46" s="230" t="s">
        <v>258</v>
      </c>
      <c r="G46" s="230">
        <v>19</v>
      </c>
      <c r="H46" s="230"/>
      <c r="I46" s="230">
        <v>19</v>
      </c>
      <c r="J46" s="230"/>
      <c r="K46" s="230"/>
      <c r="L46" s="230"/>
      <c r="M46" s="230"/>
      <c r="N46" s="230"/>
      <c r="O46" s="230"/>
      <c r="P46" s="230">
        <v>1</v>
      </c>
      <c r="Q46" s="230">
        <v>19</v>
      </c>
      <c r="R46" s="222">
        <f t="shared" si="1"/>
        <v>3.21</v>
      </c>
      <c r="S46" s="222">
        <f t="shared" si="2"/>
        <v>3.76</v>
      </c>
      <c r="T46" s="231">
        <v>3.21</v>
      </c>
      <c r="U46" s="231">
        <v>3.76</v>
      </c>
      <c r="V46" s="221" t="str">
        <f t="shared" si="3"/>
        <v>40.64*36.83*15.24</v>
      </c>
      <c r="W46" s="223">
        <v>16</v>
      </c>
      <c r="X46" s="223">
        <v>14.5</v>
      </c>
      <c r="Y46" s="223">
        <v>6</v>
      </c>
      <c r="Z46" s="214">
        <f t="shared" si="4"/>
        <v>40.64</v>
      </c>
      <c r="AA46" s="214">
        <f t="shared" si="4"/>
        <v>36.83</v>
      </c>
      <c r="AB46" s="214">
        <f t="shared" si="4"/>
        <v>15.24</v>
      </c>
    </row>
    <row r="47" spans="1:28">
      <c r="A47" s="230">
        <v>24</v>
      </c>
      <c r="B47" s="230">
        <v>24</v>
      </c>
      <c r="C47" s="230" t="s">
        <v>189</v>
      </c>
      <c r="D47" s="230"/>
      <c r="E47" s="230"/>
      <c r="F47" s="230"/>
      <c r="G47" s="230">
        <v>23</v>
      </c>
      <c r="H47" s="230"/>
      <c r="I47" s="230"/>
      <c r="J47" s="230">
        <v>23</v>
      </c>
      <c r="K47" s="230"/>
      <c r="L47" s="230"/>
      <c r="M47" s="230"/>
      <c r="N47" s="230"/>
      <c r="O47" s="230"/>
      <c r="P47" s="230">
        <v>1</v>
      </c>
      <c r="Q47" s="230">
        <v>23</v>
      </c>
      <c r="R47" s="222">
        <f t="shared" si="1"/>
        <v>4.08</v>
      </c>
      <c r="S47" s="222">
        <f t="shared" si="2"/>
        <v>4.6399999999999997</v>
      </c>
      <c r="T47" s="231">
        <v>4.08</v>
      </c>
      <c r="U47" s="231">
        <v>4.6399999999999997</v>
      </c>
      <c r="V47" s="221" t="str">
        <f t="shared" si="3"/>
        <v>40.64*35.56*17.78</v>
      </c>
      <c r="W47" s="223">
        <v>16</v>
      </c>
      <c r="X47" s="223">
        <v>14</v>
      </c>
      <c r="Y47" s="223">
        <v>7</v>
      </c>
      <c r="Z47" s="214">
        <f t="shared" si="4"/>
        <v>40.64</v>
      </c>
      <c r="AA47" s="214">
        <f t="shared" si="4"/>
        <v>35.56</v>
      </c>
      <c r="AB47" s="214">
        <f t="shared" si="4"/>
        <v>17.78</v>
      </c>
    </row>
    <row r="48" spans="1:28">
      <c r="A48" s="230">
        <v>25</v>
      </c>
      <c r="B48" s="230">
        <v>25</v>
      </c>
      <c r="C48" s="230" t="s">
        <v>189</v>
      </c>
      <c r="D48" s="230"/>
      <c r="E48" s="230"/>
      <c r="F48" s="230"/>
      <c r="G48" s="230">
        <v>16</v>
      </c>
      <c r="H48" s="230"/>
      <c r="I48" s="230"/>
      <c r="J48" s="230"/>
      <c r="K48" s="230">
        <v>16</v>
      </c>
      <c r="L48" s="230"/>
      <c r="M48" s="230"/>
      <c r="N48" s="230"/>
      <c r="O48" s="230"/>
      <c r="P48" s="230">
        <v>1</v>
      </c>
      <c r="Q48" s="230">
        <v>16</v>
      </c>
      <c r="R48" s="222">
        <f t="shared" si="1"/>
        <v>3.0999999999999996</v>
      </c>
      <c r="S48" s="222">
        <f t="shared" si="2"/>
        <v>3.8</v>
      </c>
      <c r="T48" s="231">
        <v>3.0999999999999996</v>
      </c>
      <c r="U48" s="231">
        <v>3.8</v>
      </c>
      <c r="V48" s="221" t="str">
        <f t="shared" si="3"/>
        <v>46.99*40.64*15.24</v>
      </c>
      <c r="W48" s="223">
        <v>18.5</v>
      </c>
      <c r="X48" s="223">
        <v>16</v>
      </c>
      <c r="Y48" s="223">
        <v>6</v>
      </c>
      <c r="Z48" s="214">
        <f t="shared" si="4"/>
        <v>46.99</v>
      </c>
      <c r="AA48" s="214">
        <f t="shared" si="4"/>
        <v>40.64</v>
      </c>
      <c r="AB48" s="214">
        <f t="shared" si="4"/>
        <v>15.24</v>
      </c>
    </row>
    <row r="49" spans="1:28">
      <c r="A49" s="230">
        <v>26</v>
      </c>
      <c r="B49" s="230">
        <v>26</v>
      </c>
      <c r="C49" s="230" t="s">
        <v>189</v>
      </c>
      <c r="D49" s="230"/>
      <c r="E49" s="230"/>
      <c r="F49" s="230"/>
      <c r="G49" s="230">
        <v>9</v>
      </c>
      <c r="H49" s="230"/>
      <c r="I49" s="230"/>
      <c r="J49" s="230"/>
      <c r="K49" s="230"/>
      <c r="L49" s="230">
        <v>9</v>
      </c>
      <c r="M49" s="230"/>
      <c r="N49" s="230"/>
      <c r="O49" s="230"/>
      <c r="P49" s="230">
        <v>1</v>
      </c>
      <c r="Q49" s="230">
        <v>9</v>
      </c>
      <c r="R49" s="222">
        <f t="shared" si="1"/>
        <v>1.85</v>
      </c>
      <c r="S49" s="222">
        <f t="shared" si="2"/>
        <v>2.5</v>
      </c>
      <c r="T49" s="231">
        <v>1.85</v>
      </c>
      <c r="U49" s="231">
        <v>2.5</v>
      </c>
      <c r="V49" s="221" t="str">
        <f t="shared" si="3"/>
        <v>46.99*40.64*11.43</v>
      </c>
      <c r="W49" s="223">
        <v>18.5</v>
      </c>
      <c r="X49" s="223">
        <v>16</v>
      </c>
      <c r="Y49" s="223">
        <v>4.5</v>
      </c>
      <c r="Z49" s="214">
        <f t="shared" si="4"/>
        <v>46.99</v>
      </c>
      <c r="AA49" s="214">
        <f t="shared" si="4"/>
        <v>40.64</v>
      </c>
      <c r="AB49" s="214">
        <f t="shared" si="4"/>
        <v>11.43</v>
      </c>
    </row>
    <row r="50" spans="1:28">
      <c r="A50" s="230" t="s">
        <v>266</v>
      </c>
      <c r="B50" s="230"/>
      <c r="C50" s="230" t="s">
        <v>198</v>
      </c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22"/>
      <c r="S50" s="222"/>
      <c r="T50" s="231"/>
      <c r="U50" s="231"/>
      <c r="V50" s="221"/>
      <c r="W50" s="223">
        <v>19</v>
      </c>
      <c r="X50" s="223">
        <v>11</v>
      </c>
      <c r="Y50" s="223">
        <v>4.5</v>
      </c>
      <c r="Z50" s="214">
        <f t="shared" si="4"/>
        <v>48.26</v>
      </c>
      <c r="AA50" s="214">
        <f t="shared" si="4"/>
        <v>27.94</v>
      </c>
      <c r="AB50" s="214">
        <f t="shared" si="4"/>
        <v>11.43</v>
      </c>
    </row>
    <row r="51" spans="1:28">
      <c r="A51" s="230">
        <v>27</v>
      </c>
      <c r="B51" s="230">
        <v>27</v>
      </c>
      <c r="C51" s="230" t="s">
        <v>190</v>
      </c>
      <c r="D51" s="230"/>
      <c r="E51" s="230"/>
      <c r="F51" s="230"/>
      <c r="G51" s="230">
        <v>2</v>
      </c>
      <c r="H51" s="230">
        <v>2</v>
      </c>
      <c r="I51" s="230"/>
      <c r="J51" s="230"/>
      <c r="K51" s="230"/>
      <c r="L51" s="230"/>
      <c r="M51" s="230"/>
      <c r="N51" s="230"/>
      <c r="O51" s="230"/>
      <c r="P51" s="230">
        <v>1</v>
      </c>
      <c r="Q51" s="230">
        <v>2</v>
      </c>
      <c r="R51" s="222">
        <f t="shared" si="1"/>
        <v>0.32</v>
      </c>
      <c r="S51" s="222">
        <f t="shared" si="2"/>
        <v>0.52</v>
      </c>
      <c r="T51" s="231">
        <v>0.32</v>
      </c>
      <c r="U51" s="231">
        <v>0.52</v>
      </c>
      <c r="V51" s="221" t="str">
        <f t="shared" si="3"/>
        <v>22.86*22.86*7.62</v>
      </c>
      <c r="W51" s="223">
        <v>9</v>
      </c>
      <c r="X51" s="223">
        <v>9</v>
      </c>
      <c r="Y51" s="223">
        <v>3</v>
      </c>
      <c r="Z51" s="214">
        <f t="shared" si="4"/>
        <v>22.86</v>
      </c>
      <c r="AA51" s="214">
        <f t="shared" si="4"/>
        <v>22.86</v>
      </c>
      <c r="AB51" s="214">
        <f t="shared" si="4"/>
        <v>7.62</v>
      </c>
    </row>
    <row r="52" spans="1:28">
      <c r="A52" s="230">
        <v>28</v>
      </c>
      <c r="B52" s="230">
        <v>28</v>
      </c>
      <c r="C52" s="230" t="s">
        <v>190</v>
      </c>
      <c r="D52" s="230"/>
      <c r="E52" s="230"/>
      <c r="F52" s="230"/>
      <c r="G52" s="230">
        <v>3</v>
      </c>
      <c r="H52" s="230"/>
      <c r="I52" s="230"/>
      <c r="J52" s="230"/>
      <c r="K52" s="230"/>
      <c r="L52" s="230"/>
      <c r="M52" s="230">
        <v>3</v>
      </c>
      <c r="N52" s="230"/>
      <c r="O52" s="230"/>
      <c r="P52" s="230"/>
      <c r="Q52" s="230">
        <v>3</v>
      </c>
      <c r="R52" s="222"/>
      <c r="S52" s="222"/>
      <c r="T52" s="231">
        <v>0.7</v>
      </c>
      <c r="U52" s="231">
        <v>0.9</v>
      </c>
      <c r="V52" s="221" t="str">
        <f t="shared" si="3"/>
        <v>22.86*22.86*7.62</v>
      </c>
      <c r="W52" s="223">
        <v>9</v>
      </c>
      <c r="X52" s="223">
        <v>9</v>
      </c>
      <c r="Y52" s="223">
        <v>3</v>
      </c>
      <c r="Z52" s="214">
        <f t="shared" si="4"/>
        <v>22.86</v>
      </c>
      <c r="AA52" s="214">
        <f t="shared" si="4"/>
        <v>22.86</v>
      </c>
      <c r="AB52" s="214">
        <f t="shared" si="4"/>
        <v>7.62</v>
      </c>
    </row>
    <row r="53" spans="1:28">
      <c r="A53" s="230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22"/>
      <c r="S53" s="222"/>
      <c r="T53" s="231"/>
      <c r="U53" s="231"/>
      <c r="V53" s="221"/>
      <c r="W53" s="223"/>
      <c r="X53" s="223"/>
      <c r="Y53" s="223"/>
    </row>
    <row r="54" spans="1:28">
      <c r="A54" s="230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22"/>
      <c r="S54" s="222"/>
      <c r="T54" s="231"/>
      <c r="U54" s="231"/>
      <c r="V54" s="221"/>
      <c r="W54" s="223"/>
      <c r="X54" s="223"/>
      <c r="Y54" s="223"/>
    </row>
    <row r="55" spans="1:28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22"/>
      <c r="S55" s="222"/>
      <c r="T55" s="231"/>
      <c r="U55" s="231"/>
      <c r="V55" s="230"/>
    </row>
    <row r="56" spans="1:28" s="216" customFormat="1" ht="14.25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>
        <f>SUM(N19:N55)</f>
        <v>0</v>
      </c>
      <c r="O56" s="232">
        <f>SUM(O19:O55)</f>
        <v>0</v>
      </c>
      <c r="P56" s="232">
        <f>SUM(P19:P55)</f>
        <v>24</v>
      </c>
      <c r="Q56" s="232">
        <f>SUM(Q19:Q55)</f>
        <v>480</v>
      </c>
      <c r="R56" s="232"/>
      <c r="S56" s="305"/>
      <c r="T56" s="232">
        <f>SUM(T19:T55)</f>
        <v>64.210000000000008</v>
      </c>
      <c r="U56" s="305">
        <f>SUM(U19:U55)</f>
        <v>213.98</v>
      </c>
      <c r="V56" s="232"/>
    </row>
    <row r="57" spans="1:28" s="216" customFormat="1" ht="14.25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</row>
    <row r="58" spans="1:28">
      <c r="A58" s="223"/>
      <c r="B58" s="223"/>
      <c r="C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224"/>
      <c r="T58" s="224"/>
      <c r="U58" s="224"/>
      <c r="V58" s="215"/>
    </row>
    <row r="59" spans="1:28">
      <c r="C59" s="234" t="s">
        <v>191</v>
      </c>
      <c r="D59" s="234" t="s">
        <v>181</v>
      </c>
      <c r="E59" s="234" t="s">
        <v>192</v>
      </c>
      <c r="F59" s="234" t="s">
        <v>193</v>
      </c>
      <c r="G59" s="234" t="s">
        <v>59</v>
      </c>
      <c r="H59" s="234" t="s">
        <v>27</v>
      </c>
      <c r="I59" s="234" t="s">
        <v>28</v>
      </c>
      <c r="J59" s="234" t="s">
        <v>29</v>
      </c>
      <c r="K59" s="234" t="s">
        <v>30</v>
      </c>
      <c r="L59" s="234" t="s">
        <v>145</v>
      </c>
      <c r="M59" s="234"/>
      <c r="N59" s="234"/>
      <c r="O59" s="234"/>
      <c r="P59" s="219" t="s">
        <v>31</v>
      </c>
      <c r="Q59" s="219" t="s">
        <v>32</v>
      </c>
    </row>
    <row r="60" spans="1:28" ht="15.75">
      <c r="C60" s="235" t="s">
        <v>211</v>
      </c>
      <c r="D60" s="235" t="s">
        <v>219</v>
      </c>
      <c r="E60" s="235" t="s">
        <v>220</v>
      </c>
      <c r="F60" s="235" t="s">
        <v>232</v>
      </c>
      <c r="G60" s="306">
        <v>11</v>
      </c>
      <c r="H60" s="306">
        <v>54</v>
      </c>
      <c r="I60" s="306">
        <v>68</v>
      </c>
      <c r="J60" s="306">
        <v>49</v>
      </c>
      <c r="K60" s="306">
        <v>25</v>
      </c>
      <c r="L60" s="375">
        <v>9</v>
      </c>
      <c r="M60" s="234"/>
      <c r="N60" s="234"/>
      <c r="O60" s="234"/>
      <c r="P60" s="235">
        <v>9</v>
      </c>
      <c r="Q60" s="235">
        <v>216</v>
      </c>
      <c r="W60" s="214">
        <f>+SUM(G60:K60)</f>
        <v>207</v>
      </c>
      <c r="X60" s="214">
        <f>+Q60-W60</f>
        <v>9</v>
      </c>
    </row>
    <row r="61" spans="1:28" ht="15.75">
      <c r="C61" s="235" t="s">
        <v>211</v>
      </c>
      <c r="D61" s="235" t="s">
        <v>227</v>
      </c>
      <c r="E61" s="235" t="s">
        <v>220</v>
      </c>
      <c r="F61" s="235" t="s">
        <v>232</v>
      </c>
      <c r="G61" s="306">
        <v>4</v>
      </c>
      <c r="H61" s="306">
        <v>34</v>
      </c>
      <c r="I61" s="306">
        <v>39</v>
      </c>
      <c r="J61" s="306">
        <v>28</v>
      </c>
      <c r="K61" s="306">
        <v>13</v>
      </c>
      <c r="L61" s="375">
        <v>2</v>
      </c>
      <c r="M61" s="234"/>
      <c r="N61" s="234"/>
      <c r="O61" s="234"/>
      <c r="P61" s="235">
        <v>5</v>
      </c>
      <c r="Q61" s="235">
        <v>120</v>
      </c>
    </row>
    <row r="62" spans="1:28" ht="15.75">
      <c r="C62" s="235" t="s">
        <v>211</v>
      </c>
      <c r="D62" s="235" t="s">
        <v>228</v>
      </c>
      <c r="E62" s="235" t="s">
        <v>229</v>
      </c>
      <c r="F62" s="235" t="s">
        <v>268</v>
      </c>
      <c r="G62" s="306">
        <v>2</v>
      </c>
      <c r="H62" s="306">
        <v>19</v>
      </c>
      <c r="I62" s="306">
        <v>23</v>
      </c>
      <c r="J62" s="306">
        <v>16</v>
      </c>
      <c r="K62" s="306">
        <v>9</v>
      </c>
      <c r="L62" s="375">
        <v>3</v>
      </c>
      <c r="M62" s="234"/>
      <c r="N62" s="234"/>
      <c r="O62" s="234"/>
      <c r="P62" s="235">
        <v>5</v>
      </c>
      <c r="Q62" s="235">
        <v>72</v>
      </c>
    </row>
    <row r="63" spans="1:28" ht="15.75">
      <c r="C63" s="235" t="s">
        <v>211</v>
      </c>
      <c r="D63" s="235" t="s">
        <v>228</v>
      </c>
      <c r="E63" s="235" t="s">
        <v>223</v>
      </c>
      <c r="F63" s="235" t="s">
        <v>258</v>
      </c>
      <c r="G63" s="306">
        <v>2</v>
      </c>
      <c r="H63" s="306">
        <v>19</v>
      </c>
      <c r="I63" s="306">
        <v>23</v>
      </c>
      <c r="J63" s="306">
        <v>16</v>
      </c>
      <c r="K63" s="306">
        <v>9</v>
      </c>
      <c r="L63" s="375">
        <v>3</v>
      </c>
      <c r="M63" s="234"/>
      <c r="N63" s="234"/>
      <c r="O63" s="234"/>
      <c r="P63" s="235">
        <v>5</v>
      </c>
      <c r="Q63" s="235">
        <v>72</v>
      </c>
    </row>
    <row r="64" spans="1:28">
      <c r="C64" s="235"/>
      <c r="D64" s="235"/>
      <c r="E64" s="235"/>
      <c r="F64" s="235"/>
      <c r="G64" s="230"/>
      <c r="H64" s="230"/>
      <c r="I64" s="230"/>
      <c r="J64" s="230"/>
      <c r="K64" s="230"/>
      <c r="L64" s="234"/>
      <c r="M64" s="234"/>
      <c r="N64" s="234"/>
      <c r="O64" s="234"/>
      <c r="P64" s="235"/>
      <c r="Q64" s="235"/>
    </row>
    <row r="65" spans="3:17"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</row>
    <row r="66" spans="3:17">
      <c r="C66" s="215"/>
      <c r="D66" s="215"/>
      <c r="E66" s="215"/>
      <c r="F66" s="215"/>
      <c r="G66" s="215"/>
      <c r="H66" s="215"/>
      <c r="I66" s="215"/>
      <c r="J66" s="218" t="s">
        <v>33</v>
      </c>
      <c r="K66" s="215"/>
      <c r="L66" s="218"/>
      <c r="M66" s="218"/>
      <c r="N66" s="218"/>
      <c r="O66" s="218"/>
      <c r="P66" s="218">
        <f>SUM(P60:P64)</f>
        <v>24</v>
      </c>
      <c r="Q66" s="218">
        <f>SUM(Q60:Q64)</f>
        <v>480</v>
      </c>
    </row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T58" xr:uid="{00000000-0009-0000-0000-000004000000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48402777800000002" bottom="0.48402777800000002" header="0.51180555555555496" footer="0.51180555555555496"/>
  <pageSetup scale="54" fitToHeight="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0CC0-57D2-41D1-82D4-817614767235}">
  <sheetPr>
    <pageSetUpPr fitToPage="1"/>
  </sheetPr>
  <dimension ref="A1:CG149"/>
  <sheetViews>
    <sheetView view="pageBreakPreview" topLeftCell="A30" zoomScale="70" zoomScaleNormal="70" zoomScaleSheetLayoutView="70" workbookViewId="0">
      <selection activeCell="L62" sqref="A1:XFD1048576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0.2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211</v>
      </c>
      <c r="G13" s="214" t="s">
        <v>176</v>
      </c>
    </row>
    <row r="14" spans="1:85">
      <c r="A14" s="291" t="s">
        <v>177</v>
      </c>
      <c r="B14" s="291"/>
      <c r="D14" s="214" t="str">
        <f>+B13</f>
        <v>EV161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21">
        <v>1</v>
      </c>
      <c r="B19" s="221">
        <v>1</v>
      </c>
      <c r="C19" s="221"/>
      <c r="D19" s="221" t="s">
        <v>219</v>
      </c>
      <c r="E19" s="221" t="s">
        <v>231</v>
      </c>
      <c r="F19" s="221" t="s">
        <v>232</v>
      </c>
      <c r="G19" s="221">
        <v>36</v>
      </c>
      <c r="H19" s="221"/>
      <c r="I19" s="221">
        <v>36</v>
      </c>
      <c r="J19" s="221"/>
      <c r="K19" s="221"/>
      <c r="L19" s="221"/>
      <c r="M19" s="221"/>
      <c r="N19" s="221"/>
      <c r="O19" s="221"/>
      <c r="P19" s="221">
        <v>1</v>
      </c>
      <c r="Q19" s="221">
        <v>36</v>
      </c>
      <c r="R19" s="222">
        <f>+T19/P19</f>
        <v>2.94</v>
      </c>
      <c r="S19" s="222">
        <f>+U19/P19</f>
        <v>3.64</v>
      </c>
      <c r="T19" s="222">
        <v>2.94</v>
      </c>
      <c r="U19" s="222">
        <v>3.64</v>
      </c>
      <c r="V19" s="221" t="str">
        <f>Z19&amp;"*"&amp;AA19&amp;"*"&amp;AB19</f>
        <v>40.64*38.1*11.43</v>
      </c>
      <c r="W19" s="223">
        <v>16</v>
      </c>
      <c r="X19" s="223">
        <v>15</v>
      </c>
      <c r="Y19" s="223">
        <v>4.5</v>
      </c>
      <c r="Z19" s="214">
        <f>+W19*2.54</f>
        <v>40.64</v>
      </c>
      <c r="AA19" s="214">
        <f t="shared" ref="AA19:AB34" si="0">+X19*2.54</f>
        <v>38.1</v>
      </c>
      <c r="AB19" s="214">
        <f t="shared" si="0"/>
        <v>11.43</v>
      </c>
    </row>
    <row r="20" spans="1:28">
      <c r="A20" s="221">
        <v>2</v>
      </c>
      <c r="B20" s="221">
        <v>2</v>
      </c>
      <c r="C20" s="221"/>
      <c r="D20" s="221"/>
      <c r="E20" s="221"/>
      <c r="F20" s="221"/>
      <c r="G20" s="221">
        <v>36</v>
      </c>
      <c r="H20" s="221"/>
      <c r="I20" s="221"/>
      <c r="J20" s="221">
        <v>36</v>
      </c>
      <c r="K20" s="221"/>
      <c r="L20" s="221"/>
      <c r="M20" s="221"/>
      <c r="N20" s="221"/>
      <c r="O20" s="221"/>
      <c r="P20" s="221">
        <v>1</v>
      </c>
      <c r="Q20" s="221">
        <v>36</v>
      </c>
      <c r="R20" s="222">
        <f t="shared" ref="R20:R51" si="1">+T20/P20</f>
        <v>3.14</v>
      </c>
      <c r="S20" s="222">
        <f t="shared" ref="S20:S51" si="2">+U20/P20</f>
        <v>3.84</v>
      </c>
      <c r="T20" s="222">
        <v>3.14</v>
      </c>
      <c r="U20" s="222">
        <v>3.84</v>
      </c>
      <c r="V20" s="221" t="str">
        <f t="shared" ref="V20:V52" si="3">Z20&amp;"*"&amp;AA20&amp;"*"&amp;AB20</f>
        <v>40.64*38.1*11.43</v>
      </c>
      <c r="W20" s="223">
        <v>16</v>
      </c>
      <c r="X20" s="223">
        <v>15</v>
      </c>
      <c r="Y20" s="223">
        <v>4.5</v>
      </c>
      <c r="Z20" s="214">
        <f t="shared" ref="Z20:AB52" si="4">+W20*2.54</f>
        <v>40.64</v>
      </c>
      <c r="AA20" s="214">
        <f t="shared" si="0"/>
        <v>38.1</v>
      </c>
      <c r="AB20" s="214">
        <f t="shared" si="0"/>
        <v>11.43</v>
      </c>
    </row>
    <row r="21" spans="1:28">
      <c r="A21" s="230">
        <v>3</v>
      </c>
      <c r="B21" s="230">
        <v>3</v>
      </c>
      <c r="C21" s="230"/>
      <c r="D21" s="230"/>
      <c r="E21" s="230"/>
      <c r="F21" s="230"/>
      <c r="G21" s="230">
        <v>36</v>
      </c>
      <c r="H21" s="230"/>
      <c r="I21" s="230"/>
      <c r="J21" s="230"/>
      <c r="K21" s="230">
        <v>36</v>
      </c>
      <c r="L21" s="230"/>
      <c r="M21" s="230"/>
      <c r="N21" s="230"/>
      <c r="O21" s="230"/>
      <c r="P21" s="230">
        <v>1</v>
      </c>
      <c r="Q21" s="230">
        <v>36</v>
      </c>
      <c r="R21" s="222">
        <f t="shared" si="1"/>
        <v>3.6</v>
      </c>
      <c r="S21" s="222">
        <f t="shared" si="2"/>
        <v>4.32</v>
      </c>
      <c r="T21" s="231">
        <v>3.6</v>
      </c>
      <c r="U21" s="231">
        <v>4.32</v>
      </c>
      <c r="V21" s="221" t="str">
        <f t="shared" si="3"/>
        <v>40.64*38.1*13.97</v>
      </c>
      <c r="W21" s="223">
        <v>16</v>
      </c>
      <c r="X21" s="223">
        <v>15</v>
      </c>
      <c r="Y21" s="223">
        <v>5.5</v>
      </c>
      <c r="Z21" s="214">
        <f t="shared" si="4"/>
        <v>40.64</v>
      </c>
      <c r="AA21" s="214">
        <f t="shared" si="0"/>
        <v>38.1</v>
      </c>
      <c r="AB21" s="214">
        <f t="shared" si="0"/>
        <v>13.97</v>
      </c>
    </row>
    <row r="22" spans="1:28">
      <c r="A22" s="230">
        <v>4</v>
      </c>
      <c r="B22" s="230">
        <v>4</v>
      </c>
      <c r="C22" s="230" t="s">
        <v>189</v>
      </c>
      <c r="D22" s="230"/>
      <c r="E22" s="230"/>
      <c r="F22" s="230"/>
      <c r="G22" s="230">
        <v>11</v>
      </c>
      <c r="H22" s="230">
        <v>11</v>
      </c>
      <c r="I22" s="230"/>
      <c r="J22" s="230"/>
      <c r="K22" s="230"/>
      <c r="L22" s="230"/>
      <c r="M22" s="230"/>
      <c r="N22" s="230"/>
      <c r="O22" s="230"/>
      <c r="P22" s="230">
        <v>1</v>
      </c>
      <c r="Q22" s="230">
        <v>11</v>
      </c>
      <c r="R22" s="222">
        <f t="shared" si="1"/>
        <v>0.68</v>
      </c>
      <c r="S22" s="222">
        <f t="shared" si="2"/>
        <v>1.18</v>
      </c>
      <c r="T22" s="231">
        <v>0.68</v>
      </c>
      <c r="U22" s="231">
        <v>1.18</v>
      </c>
      <c r="V22" s="221" t="str">
        <f t="shared" si="3"/>
        <v>40.64*22.86*8.89</v>
      </c>
      <c r="W22" s="223">
        <v>16</v>
      </c>
      <c r="X22" s="223">
        <v>9</v>
      </c>
      <c r="Y22" s="223">
        <v>3.5</v>
      </c>
      <c r="Z22" s="214">
        <f t="shared" si="4"/>
        <v>40.64</v>
      </c>
      <c r="AA22" s="214">
        <f t="shared" si="0"/>
        <v>22.86</v>
      </c>
      <c r="AB22" s="214">
        <f t="shared" si="0"/>
        <v>8.89</v>
      </c>
    </row>
    <row r="23" spans="1:28">
      <c r="A23" s="230">
        <v>5</v>
      </c>
      <c r="B23" s="230">
        <v>5</v>
      </c>
      <c r="C23" s="230" t="s">
        <v>189</v>
      </c>
      <c r="D23" s="230"/>
      <c r="E23" s="230"/>
      <c r="F23" s="230"/>
      <c r="G23" s="230">
        <v>18</v>
      </c>
      <c r="H23" s="230"/>
      <c r="I23" s="230">
        <v>18</v>
      </c>
      <c r="J23" s="230"/>
      <c r="K23" s="230"/>
      <c r="L23" s="230"/>
      <c r="M23" s="230"/>
      <c r="N23" s="230"/>
      <c r="O23" s="230"/>
      <c r="P23" s="230">
        <v>1</v>
      </c>
      <c r="Q23" s="230">
        <v>18</v>
      </c>
      <c r="R23" s="222">
        <f t="shared" si="1"/>
        <v>1.32</v>
      </c>
      <c r="S23" s="222">
        <f t="shared" si="2"/>
        <v>1.84</v>
      </c>
      <c r="T23" s="231">
        <v>1.32</v>
      </c>
      <c r="U23" s="231">
        <v>1.84</v>
      </c>
      <c r="V23" s="221" t="str">
        <f t="shared" si="3"/>
        <v>40.64*22.86*11.43</v>
      </c>
      <c r="W23" s="223">
        <v>16</v>
      </c>
      <c r="X23" s="223">
        <v>9</v>
      </c>
      <c r="Y23" s="223">
        <v>4.5</v>
      </c>
      <c r="Z23" s="214">
        <f t="shared" si="4"/>
        <v>40.64</v>
      </c>
      <c r="AA23" s="214">
        <f t="shared" si="0"/>
        <v>22.86</v>
      </c>
      <c r="AB23" s="214">
        <f t="shared" si="0"/>
        <v>11.43</v>
      </c>
    </row>
    <row r="24" spans="1:28">
      <c r="A24" s="230">
        <v>6</v>
      </c>
      <c r="B24" s="230">
        <v>6</v>
      </c>
      <c r="C24" s="230" t="s">
        <v>189</v>
      </c>
      <c r="D24" s="230"/>
      <c r="E24" s="230"/>
      <c r="F24" s="230"/>
      <c r="G24" s="230">
        <v>32</v>
      </c>
      <c r="H24" s="230"/>
      <c r="I24" s="230"/>
      <c r="J24" s="230">
        <v>32</v>
      </c>
      <c r="K24" s="230"/>
      <c r="L24" s="230"/>
      <c r="M24" s="230"/>
      <c r="N24" s="230"/>
      <c r="O24" s="230"/>
      <c r="P24" s="230">
        <v>1</v>
      </c>
      <c r="Q24" s="230">
        <v>32</v>
      </c>
      <c r="R24" s="222">
        <f t="shared" si="1"/>
        <v>2.6</v>
      </c>
      <c r="S24" s="222">
        <f t="shared" si="2"/>
        <v>3.3</v>
      </c>
      <c r="T24" s="231">
        <v>2.6</v>
      </c>
      <c r="U24" s="231">
        <v>3.3</v>
      </c>
      <c r="V24" s="221" t="str">
        <f t="shared" si="3"/>
        <v>40.64*39.37*10.16</v>
      </c>
      <c r="W24" s="223">
        <v>16</v>
      </c>
      <c r="X24" s="223">
        <v>15.5</v>
      </c>
      <c r="Y24" s="223">
        <v>4</v>
      </c>
      <c r="Z24" s="214">
        <f t="shared" si="4"/>
        <v>40.64</v>
      </c>
      <c r="AA24" s="214">
        <f t="shared" si="0"/>
        <v>39.369999999999997</v>
      </c>
      <c r="AB24" s="214">
        <f t="shared" si="0"/>
        <v>10.16</v>
      </c>
    </row>
    <row r="25" spans="1:28">
      <c r="A25" s="230">
        <v>7</v>
      </c>
      <c r="B25" s="230">
        <v>7</v>
      </c>
      <c r="C25" s="230" t="s">
        <v>189</v>
      </c>
      <c r="D25" s="230"/>
      <c r="E25" s="230"/>
      <c r="F25" s="230"/>
      <c r="G25" s="230">
        <v>13</v>
      </c>
      <c r="H25" s="230"/>
      <c r="I25" s="230"/>
      <c r="J25" s="230"/>
      <c r="K25" s="230">
        <v>13</v>
      </c>
      <c r="L25" s="230"/>
      <c r="M25" s="230"/>
      <c r="N25" s="230"/>
      <c r="O25" s="230"/>
      <c r="P25" s="230">
        <v>1</v>
      </c>
      <c r="Q25" s="230">
        <v>13</v>
      </c>
      <c r="R25" s="222">
        <f t="shared" si="1"/>
        <v>1.3</v>
      </c>
      <c r="S25" s="222">
        <f t="shared" si="2"/>
        <v>1.6</v>
      </c>
      <c r="T25" s="231">
        <v>1.3</v>
      </c>
      <c r="U25" s="231">
        <v>1.6</v>
      </c>
      <c r="V25" s="221" t="str">
        <f t="shared" si="3"/>
        <v>40.64*22.86*8.89</v>
      </c>
      <c r="W25" s="223">
        <v>16</v>
      </c>
      <c r="X25" s="223">
        <v>9</v>
      </c>
      <c r="Y25" s="223">
        <v>3.5</v>
      </c>
      <c r="Z25" s="214">
        <f t="shared" si="4"/>
        <v>40.64</v>
      </c>
      <c r="AA25" s="214">
        <f t="shared" si="0"/>
        <v>22.86</v>
      </c>
      <c r="AB25" s="214">
        <f t="shared" si="0"/>
        <v>8.89</v>
      </c>
    </row>
    <row r="26" spans="1:28">
      <c r="A26" s="230">
        <v>8</v>
      </c>
      <c r="B26" s="230">
        <v>8</v>
      </c>
      <c r="C26" s="230" t="s">
        <v>189</v>
      </c>
      <c r="D26" s="230"/>
      <c r="E26" s="230"/>
      <c r="F26" s="230"/>
      <c r="G26" s="230">
        <v>25</v>
      </c>
      <c r="H26" s="230"/>
      <c r="I26" s="230"/>
      <c r="J26" s="230"/>
      <c r="K26" s="230"/>
      <c r="L26" s="230">
        <v>25</v>
      </c>
      <c r="M26" s="230"/>
      <c r="N26" s="230"/>
      <c r="O26" s="230"/>
      <c r="P26" s="230">
        <v>1</v>
      </c>
      <c r="Q26" s="230">
        <v>25</v>
      </c>
      <c r="R26" s="222">
        <f t="shared" si="1"/>
        <v>2.64</v>
      </c>
      <c r="S26" s="222">
        <f t="shared" si="2"/>
        <v>3.34</v>
      </c>
      <c r="T26" s="231">
        <v>2.64</v>
      </c>
      <c r="U26" s="231">
        <v>3.34</v>
      </c>
      <c r="V26" s="221" t="str">
        <f t="shared" si="3"/>
        <v>40.64*39.37*10.16</v>
      </c>
      <c r="W26" s="223">
        <v>16</v>
      </c>
      <c r="X26" s="223">
        <v>15.5</v>
      </c>
      <c r="Y26" s="223">
        <v>4</v>
      </c>
      <c r="Z26" s="214">
        <f t="shared" si="4"/>
        <v>40.64</v>
      </c>
      <c r="AA26" s="214">
        <f t="shared" si="0"/>
        <v>39.369999999999997</v>
      </c>
      <c r="AB26" s="214">
        <f t="shared" si="0"/>
        <v>10.16</v>
      </c>
    </row>
    <row r="27" spans="1:28">
      <c r="A27" s="230">
        <v>9</v>
      </c>
      <c r="B27" s="230">
        <v>9</v>
      </c>
      <c r="C27" s="230" t="s">
        <v>189</v>
      </c>
      <c r="D27" s="230"/>
      <c r="E27" s="230"/>
      <c r="F27" s="230"/>
      <c r="G27" s="230">
        <v>9</v>
      </c>
      <c r="H27" s="230"/>
      <c r="I27" s="230"/>
      <c r="J27" s="230"/>
      <c r="K27" s="230"/>
      <c r="L27" s="230"/>
      <c r="M27" s="230">
        <v>9</v>
      </c>
      <c r="N27" s="230"/>
      <c r="O27" s="230"/>
      <c r="P27" s="230">
        <v>1</v>
      </c>
      <c r="Q27" s="230">
        <v>9</v>
      </c>
      <c r="R27" s="222">
        <f t="shared" si="1"/>
        <v>1.06</v>
      </c>
      <c r="S27" s="222">
        <f t="shared" si="2"/>
        <v>136</v>
      </c>
      <c r="T27" s="231">
        <v>1.06</v>
      </c>
      <c r="U27" s="231">
        <v>136</v>
      </c>
      <c r="V27" s="221" t="str">
        <f t="shared" si="3"/>
        <v>40.64*22.86*8.89</v>
      </c>
      <c r="W27" s="223">
        <v>16</v>
      </c>
      <c r="X27" s="223">
        <v>9</v>
      </c>
      <c r="Y27" s="223">
        <v>3.5</v>
      </c>
      <c r="Z27" s="214">
        <f t="shared" si="4"/>
        <v>40.64</v>
      </c>
      <c r="AA27" s="214">
        <f t="shared" si="0"/>
        <v>22.86</v>
      </c>
      <c r="AB27" s="214">
        <f t="shared" si="0"/>
        <v>8.89</v>
      </c>
    </row>
    <row r="28" spans="1:28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22"/>
      <c r="S28" s="222"/>
      <c r="T28" s="231"/>
      <c r="U28" s="231"/>
      <c r="V28" s="221"/>
      <c r="W28" s="223"/>
      <c r="X28" s="223"/>
      <c r="Y28" s="223"/>
      <c r="Z28" s="214">
        <f t="shared" si="4"/>
        <v>0</v>
      </c>
      <c r="AA28" s="214">
        <f t="shared" si="0"/>
        <v>0</v>
      </c>
      <c r="AB28" s="214">
        <f t="shared" si="0"/>
        <v>0</v>
      </c>
    </row>
    <row r="29" spans="1:28">
      <c r="A29" s="230">
        <v>10</v>
      </c>
      <c r="B29" s="230">
        <v>10</v>
      </c>
      <c r="C29" s="230"/>
      <c r="D29" s="230" t="s">
        <v>227</v>
      </c>
      <c r="E29" s="230" t="s">
        <v>231</v>
      </c>
      <c r="F29" s="230" t="s">
        <v>232</v>
      </c>
      <c r="G29" s="230">
        <v>36</v>
      </c>
      <c r="H29" s="230"/>
      <c r="I29" s="230"/>
      <c r="J29" s="230">
        <v>36</v>
      </c>
      <c r="K29" s="230"/>
      <c r="L29" s="230"/>
      <c r="M29" s="230"/>
      <c r="N29" s="230"/>
      <c r="O29" s="230"/>
      <c r="P29" s="230">
        <v>1</v>
      </c>
      <c r="Q29" s="230">
        <v>36</v>
      </c>
      <c r="R29" s="222">
        <f t="shared" si="1"/>
        <v>5.56</v>
      </c>
      <c r="S29" s="222">
        <f t="shared" si="2"/>
        <v>6.42</v>
      </c>
      <c r="T29" s="231">
        <v>5.56</v>
      </c>
      <c r="U29" s="231">
        <v>6.42</v>
      </c>
      <c r="V29" s="221" t="str">
        <f t="shared" si="3"/>
        <v>50.8*43.18*13.97</v>
      </c>
      <c r="W29" s="223">
        <v>20</v>
      </c>
      <c r="X29" s="223">
        <v>17</v>
      </c>
      <c r="Y29" s="223">
        <v>5.5</v>
      </c>
      <c r="Z29" s="214">
        <f t="shared" si="4"/>
        <v>50.8</v>
      </c>
      <c r="AA29" s="214">
        <f t="shared" si="0"/>
        <v>43.18</v>
      </c>
      <c r="AB29" s="214">
        <f t="shared" si="0"/>
        <v>13.97</v>
      </c>
    </row>
    <row r="30" spans="1:28">
      <c r="A30" s="230">
        <v>11</v>
      </c>
      <c r="B30" s="230">
        <v>11</v>
      </c>
      <c r="C30" s="230" t="s">
        <v>189</v>
      </c>
      <c r="D30" s="230"/>
      <c r="E30" s="230"/>
      <c r="F30" s="230"/>
      <c r="G30" s="230">
        <v>34</v>
      </c>
      <c r="H30" s="230"/>
      <c r="I30" s="230">
        <v>34</v>
      </c>
      <c r="J30" s="230"/>
      <c r="K30" s="230"/>
      <c r="L30" s="230"/>
      <c r="M30" s="230"/>
      <c r="N30" s="230"/>
      <c r="O30" s="230"/>
      <c r="P30" s="230">
        <v>1</v>
      </c>
      <c r="Q30" s="230">
        <v>34</v>
      </c>
      <c r="R30" s="222">
        <f t="shared" si="1"/>
        <v>4.84</v>
      </c>
      <c r="S30" s="222">
        <f t="shared" si="2"/>
        <v>5.7</v>
      </c>
      <c r="T30" s="231">
        <v>4.84</v>
      </c>
      <c r="U30" s="231">
        <v>5.7</v>
      </c>
      <c r="V30" s="221" t="str">
        <f t="shared" si="3"/>
        <v>50.8*43.18*13.97</v>
      </c>
      <c r="W30" s="223">
        <v>20</v>
      </c>
      <c r="X30" s="223">
        <v>17</v>
      </c>
      <c r="Y30" s="223">
        <v>5.5</v>
      </c>
      <c r="Z30" s="214">
        <f t="shared" si="4"/>
        <v>50.8</v>
      </c>
      <c r="AA30" s="214">
        <f t="shared" si="0"/>
        <v>43.18</v>
      </c>
      <c r="AB30" s="214">
        <f t="shared" si="0"/>
        <v>13.97</v>
      </c>
    </row>
    <row r="31" spans="1:28">
      <c r="A31" s="230">
        <v>12</v>
      </c>
      <c r="B31" s="230">
        <v>12</v>
      </c>
      <c r="C31" s="230" t="s">
        <v>189</v>
      </c>
      <c r="D31" s="230"/>
      <c r="E31" s="230"/>
      <c r="F31" s="230"/>
      <c r="G31" s="230">
        <v>28</v>
      </c>
      <c r="H31" s="230"/>
      <c r="I31" s="230"/>
      <c r="J31" s="230"/>
      <c r="K31" s="230">
        <v>28</v>
      </c>
      <c r="L31" s="230"/>
      <c r="M31" s="230"/>
      <c r="N31" s="230"/>
      <c r="O31" s="230"/>
      <c r="P31" s="230">
        <v>1</v>
      </c>
      <c r="Q31" s="230">
        <v>28</v>
      </c>
      <c r="R31" s="222">
        <f t="shared" si="1"/>
        <v>4.7399999999999993</v>
      </c>
      <c r="S31" s="222">
        <f t="shared" si="2"/>
        <v>5.6</v>
      </c>
      <c r="T31" s="231">
        <v>4.7399999999999993</v>
      </c>
      <c r="U31" s="231">
        <v>5.6</v>
      </c>
      <c r="V31" s="221" t="str">
        <f t="shared" si="3"/>
        <v>50.8*43.18*13.97</v>
      </c>
      <c r="W31" s="223">
        <v>20</v>
      </c>
      <c r="X31" s="223">
        <v>17</v>
      </c>
      <c r="Y31" s="223">
        <v>5.5</v>
      </c>
      <c r="Z31" s="214">
        <f t="shared" si="4"/>
        <v>50.8</v>
      </c>
      <c r="AA31" s="214">
        <f t="shared" si="0"/>
        <v>43.18</v>
      </c>
      <c r="AB31" s="214">
        <f t="shared" si="0"/>
        <v>13.97</v>
      </c>
    </row>
    <row r="32" spans="1:28">
      <c r="A32" s="230">
        <v>13</v>
      </c>
      <c r="B32" s="230">
        <v>13</v>
      </c>
      <c r="C32" s="230" t="s">
        <v>189</v>
      </c>
      <c r="D32" s="230"/>
      <c r="E32" s="230"/>
      <c r="F32" s="230"/>
      <c r="G32" s="230">
        <v>13</v>
      </c>
      <c r="H32" s="230"/>
      <c r="I32" s="230"/>
      <c r="J32" s="230"/>
      <c r="K32" s="230"/>
      <c r="L32" s="230">
        <v>13</v>
      </c>
      <c r="M32" s="230"/>
      <c r="N32" s="230"/>
      <c r="O32" s="230"/>
      <c r="P32" s="230">
        <v>1</v>
      </c>
      <c r="Q32" s="230">
        <v>13</v>
      </c>
      <c r="R32" s="222">
        <f t="shared" si="1"/>
        <v>1.9299999999999997</v>
      </c>
      <c r="S32" s="222">
        <f t="shared" si="2"/>
        <v>2.78</v>
      </c>
      <c r="T32" s="231">
        <v>1.9299999999999997</v>
      </c>
      <c r="U32" s="231">
        <v>2.78</v>
      </c>
      <c r="V32" s="221" t="str">
        <f t="shared" si="3"/>
        <v>43.18*25.4*11.43</v>
      </c>
      <c r="W32" s="223">
        <v>17</v>
      </c>
      <c r="X32" s="223">
        <v>10</v>
      </c>
      <c r="Y32" s="223">
        <v>4.5</v>
      </c>
      <c r="Z32" s="214">
        <f t="shared" si="4"/>
        <v>43.18</v>
      </c>
      <c r="AA32" s="214">
        <f t="shared" si="0"/>
        <v>25.4</v>
      </c>
      <c r="AB32" s="214">
        <f t="shared" si="0"/>
        <v>11.43</v>
      </c>
    </row>
    <row r="33" spans="1:28">
      <c r="A33" s="230" t="s">
        <v>264</v>
      </c>
      <c r="B33" s="230"/>
      <c r="C33" s="230" t="s">
        <v>198</v>
      </c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22"/>
      <c r="S33" s="222"/>
      <c r="T33" s="231"/>
      <c r="U33" s="231"/>
      <c r="V33" s="221"/>
      <c r="W33" s="223">
        <v>19</v>
      </c>
      <c r="X33" s="223">
        <v>11</v>
      </c>
      <c r="Y33" s="223">
        <v>8.5</v>
      </c>
      <c r="Z33" s="214">
        <f t="shared" si="4"/>
        <v>48.26</v>
      </c>
      <c r="AA33" s="214">
        <f t="shared" si="0"/>
        <v>27.94</v>
      </c>
      <c r="AB33" s="214">
        <f t="shared" si="0"/>
        <v>21.59</v>
      </c>
    </row>
    <row r="34" spans="1:28">
      <c r="A34" s="230">
        <v>14</v>
      </c>
      <c r="B34" s="230">
        <v>14</v>
      </c>
      <c r="C34" s="230" t="s">
        <v>190</v>
      </c>
      <c r="D34" s="230"/>
      <c r="E34" s="230"/>
      <c r="F34" s="230"/>
      <c r="G34" s="230">
        <v>4</v>
      </c>
      <c r="H34" s="230">
        <v>4</v>
      </c>
      <c r="I34" s="230"/>
      <c r="J34" s="230"/>
      <c r="K34" s="230"/>
      <c r="L34" s="230"/>
      <c r="M34" s="230"/>
      <c r="N34" s="230"/>
      <c r="O34" s="230"/>
      <c r="P34" s="230">
        <v>1</v>
      </c>
      <c r="Q34" s="230">
        <v>4</v>
      </c>
      <c r="R34" s="222">
        <f t="shared" si="1"/>
        <v>0.52</v>
      </c>
      <c r="S34" s="222">
        <f t="shared" si="2"/>
        <v>0.8</v>
      </c>
      <c r="T34" s="231">
        <v>0.52</v>
      </c>
      <c r="U34" s="231">
        <v>0.8</v>
      </c>
      <c r="V34" s="221" t="str">
        <f t="shared" si="3"/>
        <v>25.4*22.86*8.89</v>
      </c>
      <c r="W34" s="223">
        <v>10</v>
      </c>
      <c r="X34" s="223">
        <v>9</v>
      </c>
      <c r="Y34" s="223">
        <v>3.5</v>
      </c>
      <c r="Z34" s="214">
        <f t="shared" si="4"/>
        <v>25.4</v>
      </c>
      <c r="AA34" s="214">
        <f t="shared" si="0"/>
        <v>22.86</v>
      </c>
      <c r="AB34" s="214">
        <f t="shared" si="0"/>
        <v>8.89</v>
      </c>
    </row>
    <row r="35" spans="1:28">
      <c r="A35" s="230">
        <v>15</v>
      </c>
      <c r="B35" s="230">
        <v>15</v>
      </c>
      <c r="C35" s="230" t="s">
        <v>190</v>
      </c>
      <c r="D35" s="230"/>
      <c r="E35" s="230"/>
      <c r="F35" s="230"/>
      <c r="G35" s="230">
        <v>3</v>
      </c>
      <c r="H35" s="230"/>
      <c r="I35" s="230"/>
      <c r="J35" s="230">
        <v>3</v>
      </c>
      <c r="K35" s="230"/>
      <c r="L35" s="230"/>
      <c r="M35" s="230"/>
      <c r="N35" s="230"/>
      <c r="O35" s="230"/>
      <c r="P35" s="230">
        <v>1</v>
      </c>
      <c r="Q35" s="230">
        <v>3</v>
      </c>
      <c r="R35" s="222"/>
      <c r="S35" s="222"/>
      <c r="T35" s="231">
        <v>0.43999999999999995</v>
      </c>
      <c r="U35" s="231">
        <v>0.72</v>
      </c>
      <c r="V35" s="221" t="str">
        <f t="shared" si="3"/>
        <v>25.4*22.86*8.89</v>
      </c>
      <c r="W35" s="223">
        <v>10</v>
      </c>
      <c r="X35" s="223">
        <v>9</v>
      </c>
      <c r="Y35" s="223">
        <v>3.5</v>
      </c>
      <c r="Z35" s="214">
        <f t="shared" si="4"/>
        <v>25.4</v>
      </c>
      <c r="AA35" s="214">
        <f t="shared" si="4"/>
        <v>22.86</v>
      </c>
      <c r="AB35" s="214">
        <f t="shared" si="4"/>
        <v>8.89</v>
      </c>
    </row>
    <row r="36" spans="1:28">
      <c r="A36" s="230">
        <v>16</v>
      </c>
      <c r="B36" s="230">
        <v>16</v>
      </c>
      <c r="C36" s="230" t="s">
        <v>190</v>
      </c>
      <c r="D36" s="230"/>
      <c r="E36" s="230"/>
      <c r="F36" s="230"/>
      <c r="G36" s="230">
        <v>2</v>
      </c>
      <c r="H36" s="230"/>
      <c r="I36" s="230"/>
      <c r="J36" s="230"/>
      <c r="K36" s="230"/>
      <c r="L36" s="230"/>
      <c r="M36" s="230">
        <v>2</v>
      </c>
      <c r="N36" s="230"/>
      <c r="O36" s="230"/>
      <c r="P36" s="230">
        <v>1</v>
      </c>
      <c r="Q36" s="230">
        <v>2</v>
      </c>
      <c r="R36" s="222"/>
      <c r="S36" s="222"/>
      <c r="T36" s="231">
        <v>0.38</v>
      </c>
      <c r="U36" s="231">
        <v>0.66</v>
      </c>
      <c r="V36" s="221" t="str">
        <f t="shared" si="3"/>
        <v>25.4*22.86*8.89</v>
      </c>
      <c r="W36" s="223">
        <v>10</v>
      </c>
      <c r="X36" s="223">
        <v>9</v>
      </c>
      <c r="Y36" s="223">
        <v>3.5</v>
      </c>
      <c r="Z36" s="214">
        <f t="shared" si="4"/>
        <v>25.4</v>
      </c>
      <c r="AA36" s="214">
        <f t="shared" si="4"/>
        <v>22.86</v>
      </c>
      <c r="AB36" s="214">
        <f t="shared" si="4"/>
        <v>8.89</v>
      </c>
    </row>
    <row r="37" spans="1:28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22"/>
      <c r="S37" s="222"/>
      <c r="T37" s="231"/>
      <c r="U37" s="231"/>
      <c r="V37" s="221"/>
      <c r="W37" s="223"/>
      <c r="X37" s="223"/>
      <c r="Y37" s="223"/>
      <c r="Z37" s="214">
        <f t="shared" si="4"/>
        <v>0</v>
      </c>
      <c r="AA37" s="214">
        <f t="shared" si="4"/>
        <v>0</v>
      </c>
      <c r="AB37" s="214">
        <f t="shared" si="4"/>
        <v>0</v>
      </c>
    </row>
    <row r="38" spans="1:28">
      <c r="A38" s="230">
        <v>17</v>
      </c>
      <c r="B38" s="230">
        <v>17</v>
      </c>
      <c r="C38" s="230" t="s">
        <v>189</v>
      </c>
      <c r="D38" s="230" t="s">
        <v>228</v>
      </c>
      <c r="E38" s="230" t="s">
        <v>267</v>
      </c>
      <c r="F38" s="230" t="s">
        <v>268</v>
      </c>
      <c r="G38" s="230">
        <v>19</v>
      </c>
      <c r="H38" s="230"/>
      <c r="I38" s="230">
        <v>19</v>
      </c>
      <c r="J38" s="230"/>
      <c r="K38" s="230"/>
      <c r="L38" s="230"/>
      <c r="M38" s="230"/>
      <c r="N38" s="230"/>
      <c r="O38" s="230"/>
      <c r="P38" s="230">
        <v>1</v>
      </c>
      <c r="Q38" s="230">
        <v>19</v>
      </c>
      <c r="R38" s="222">
        <f t="shared" si="1"/>
        <v>3.21</v>
      </c>
      <c r="S38" s="222">
        <f t="shared" si="2"/>
        <v>3.76</v>
      </c>
      <c r="T38" s="231">
        <v>3.21</v>
      </c>
      <c r="U38" s="231">
        <v>3.76</v>
      </c>
      <c r="V38" s="221" t="str">
        <f t="shared" si="3"/>
        <v>40.64*36.83*15.24</v>
      </c>
      <c r="W38" s="223">
        <v>16</v>
      </c>
      <c r="X38" s="223">
        <v>14.5</v>
      </c>
      <c r="Y38" s="223">
        <v>6</v>
      </c>
      <c r="Z38" s="214">
        <f t="shared" si="4"/>
        <v>40.64</v>
      </c>
      <c r="AA38" s="214">
        <f t="shared" si="4"/>
        <v>36.83</v>
      </c>
      <c r="AB38" s="214">
        <f t="shared" si="4"/>
        <v>15.24</v>
      </c>
    </row>
    <row r="39" spans="1:28">
      <c r="A39" s="230">
        <v>18</v>
      </c>
      <c r="B39" s="230">
        <v>18</v>
      </c>
      <c r="C39" s="230" t="s">
        <v>189</v>
      </c>
      <c r="D39" s="230"/>
      <c r="E39" s="230"/>
      <c r="F39" s="230"/>
      <c r="G39" s="230">
        <v>23</v>
      </c>
      <c r="H39" s="230"/>
      <c r="I39" s="230"/>
      <c r="J39" s="230">
        <v>23</v>
      </c>
      <c r="K39" s="230"/>
      <c r="L39" s="230"/>
      <c r="M39" s="230"/>
      <c r="N39" s="230"/>
      <c r="O39" s="230"/>
      <c r="P39" s="230">
        <v>1</v>
      </c>
      <c r="Q39" s="230">
        <v>23</v>
      </c>
      <c r="R39" s="222">
        <f t="shared" si="1"/>
        <v>4.08</v>
      </c>
      <c r="S39" s="222">
        <f t="shared" si="2"/>
        <v>4.6399999999999997</v>
      </c>
      <c r="T39" s="231">
        <v>4.08</v>
      </c>
      <c r="U39" s="231">
        <v>4.6399999999999997</v>
      </c>
      <c r="V39" s="221" t="str">
        <f t="shared" si="3"/>
        <v>40.64*35.56*17.78</v>
      </c>
      <c r="W39" s="223">
        <v>16</v>
      </c>
      <c r="X39" s="223">
        <v>14</v>
      </c>
      <c r="Y39" s="223">
        <v>7</v>
      </c>
      <c r="Z39" s="214">
        <f t="shared" si="4"/>
        <v>40.64</v>
      </c>
      <c r="AA39" s="214">
        <f t="shared" si="4"/>
        <v>35.56</v>
      </c>
      <c r="AB39" s="214">
        <f t="shared" si="4"/>
        <v>17.78</v>
      </c>
    </row>
    <row r="40" spans="1:28">
      <c r="A40" s="230">
        <v>19</v>
      </c>
      <c r="B40" s="230">
        <v>19</v>
      </c>
      <c r="C40" s="230" t="s">
        <v>189</v>
      </c>
      <c r="D40" s="230"/>
      <c r="E40" s="230"/>
      <c r="F40" s="230"/>
      <c r="G40" s="230">
        <v>16</v>
      </c>
      <c r="H40" s="230"/>
      <c r="I40" s="230"/>
      <c r="J40" s="230"/>
      <c r="K40" s="230">
        <v>16</v>
      </c>
      <c r="L40" s="230"/>
      <c r="M40" s="230"/>
      <c r="N40" s="230"/>
      <c r="O40" s="230"/>
      <c r="P40" s="230">
        <v>1</v>
      </c>
      <c r="Q40" s="230">
        <v>16</v>
      </c>
      <c r="R40" s="222">
        <f t="shared" si="1"/>
        <v>3.0999999999999996</v>
      </c>
      <c r="S40" s="222">
        <f t="shared" si="2"/>
        <v>3.8</v>
      </c>
      <c r="T40" s="231">
        <v>3.0999999999999996</v>
      </c>
      <c r="U40" s="231">
        <v>3.8</v>
      </c>
      <c r="V40" s="221" t="str">
        <f t="shared" si="3"/>
        <v>46.99*40.64*15.24</v>
      </c>
      <c r="W40" s="223">
        <v>18.5</v>
      </c>
      <c r="X40" s="223">
        <v>16</v>
      </c>
      <c r="Y40" s="223">
        <v>6</v>
      </c>
      <c r="Z40" s="214">
        <f t="shared" si="4"/>
        <v>46.99</v>
      </c>
      <c r="AA40" s="214">
        <f t="shared" si="4"/>
        <v>40.64</v>
      </c>
      <c r="AB40" s="214">
        <f t="shared" si="4"/>
        <v>15.24</v>
      </c>
    </row>
    <row r="41" spans="1:28">
      <c r="A41" s="230">
        <v>20</v>
      </c>
      <c r="B41" s="230">
        <v>20</v>
      </c>
      <c r="C41" s="230" t="s">
        <v>189</v>
      </c>
      <c r="D41" s="230"/>
      <c r="E41" s="230"/>
      <c r="F41" s="230"/>
      <c r="G41" s="230">
        <v>9</v>
      </c>
      <c r="H41" s="230"/>
      <c r="I41" s="230"/>
      <c r="J41" s="230"/>
      <c r="K41" s="230"/>
      <c r="L41" s="230">
        <v>9</v>
      </c>
      <c r="M41" s="230"/>
      <c r="N41" s="230"/>
      <c r="O41" s="230"/>
      <c r="P41" s="230">
        <v>1</v>
      </c>
      <c r="Q41" s="230">
        <v>9</v>
      </c>
      <c r="R41" s="222">
        <f t="shared" si="1"/>
        <v>1.85</v>
      </c>
      <c r="S41" s="222">
        <f t="shared" si="2"/>
        <v>2.5</v>
      </c>
      <c r="T41" s="231">
        <v>1.85</v>
      </c>
      <c r="U41" s="231">
        <v>2.5</v>
      </c>
      <c r="V41" s="221" t="str">
        <f t="shared" si="3"/>
        <v>46.99*40.64*11.43</v>
      </c>
      <c r="W41" s="223">
        <v>18.5</v>
      </c>
      <c r="X41" s="223">
        <v>16</v>
      </c>
      <c r="Y41" s="223">
        <v>4.5</v>
      </c>
      <c r="Z41" s="214">
        <f t="shared" si="4"/>
        <v>46.99</v>
      </c>
      <c r="AA41" s="214">
        <f t="shared" si="4"/>
        <v>40.64</v>
      </c>
      <c r="AB41" s="214">
        <f t="shared" si="4"/>
        <v>11.43</v>
      </c>
    </row>
    <row r="42" spans="1:28">
      <c r="A42" s="230" t="s">
        <v>265</v>
      </c>
      <c r="B42" s="230"/>
      <c r="C42" s="230" t="s">
        <v>198</v>
      </c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22"/>
      <c r="S42" s="222"/>
      <c r="T42" s="231"/>
      <c r="U42" s="231"/>
      <c r="V42" s="221"/>
      <c r="W42" s="223">
        <v>19</v>
      </c>
      <c r="X42" s="223">
        <v>11</v>
      </c>
      <c r="Y42" s="223">
        <v>4.5</v>
      </c>
      <c r="Z42" s="214">
        <f t="shared" si="4"/>
        <v>48.26</v>
      </c>
      <c r="AA42" s="214">
        <f t="shared" si="4"/>
        <v>27.94</v>
      </c>
      <c r="AB42" s="214">
        <f t="shared" si="4"/>
        <v>11.43</v>
      </c>
    </row>
    <row r="43" spans="1:28">
      <c r="A43" s="230">
        <v>21</v>
      </c>
      <c r="B43" s="230">
        <v>21</v>
      </c>
      <c r="C43" s="230" t="s">
        <v>190</v>
      </c>
      <c r="D43" s="230"/>
      <c r="E43" s="230"/>
      <c r="F43" s="230"/>
      <c r="G43" s="230">
        <v>2</v>
      </c>
      <c r="H43" s="230">
        <v>2</v>
      </c>
      <c r="I43" s="230"/>
      <c r="J43" s="230"/>
      <c r="K43" s="230"/>
      <c r="L43" s="230"/>
      <c r="M43" s="230"/>
      <c r="N43" s="230"/>
      <c r="O43" s="230"/>
      <c r="P43" s="230">
        <v>1</v>
      </c>
      <c r="Q43" s="230">
        <v>2</v>
      </c>
      <c r="R43" s="222">
        <f t="shared" si="1"/>
        <v>0.32</v>
      </c>
      <c r="S43" s="222">
        <f t="shared" si="2"/>
        <v>0.52</v>
      </c>
      <c r="T43" s="231">
        <v>0.32</v>
      </c>
      <c r="U43" s="231">
        <v>0.52</v>
      </c>
      <c r="V43" s="221" t="str">
        <f t="shared" si="3"/>
        <v>22.86*22.86*7.62</v>
      </c>
      <c r="W43" s="223">
        <v>9</v>
      </c>
      <c r="X43" s="223">
        <v>9</v>
      </c>
      <c r="Y43" s="223">
        <v>3</v>
      </c>
      <c r="Z43" s="214">
        <f t="shared" si="4"/>
        <v>22.86</v>
      </c>
      <c r="AA43" s="214">
        <f t="shared" si="4"/>
        <v>22.86</v>
      </c>
      <c r="AB43" s="214">
        <f t="shared" si="4"/>
        <v>7.62</v>
      </c>
    </row>
    <row r="44" spans="1:28">
      <c r="A44" s="230">
        <v>22</v>
      </c>
      <c r="B44" s="230">
        <v>22</v>
      </c>
      <c r="C44" s="230" t="s">
        <v>190</v>
      </c>
      <c r="D44" s="230"/>
      <c r="E44" s="230"/>
      <c r="F44" s="230"/>
      <c r="G44" s="230">
        <v>3</v>
      </c>
      <c r="H44" s="230"/>
      <c r="I44" s="230"/>
      <c r="J44" s="230"/>
      <c r="K44" s="230"/>
      <c r="L44" s="230"/>
      <c r="M44" s="230">
        <v>3</v>
      </c>
      <c r="N44" s="230"/>
      <c r="O44" s="230"/>
      <c r="P44" s="230">
        <v>1</v>
      </c>
      <c r="Q44" s="230">
        <v>3</v>
      </c>
      <c r="R44" s="222"/>
      <c r="S44" s="222"/>
      <c r="T44" s="231">
        <v>0.7</v>
      </c>
      <c r="U44" s="231">
        <v>0.9</v>
      </c>
      <c r="V44" s="221" t="str">
        <f t="shared" si="3"/>
        <v>22.86*22.86*7.62</v>
      </c>
      <c r="W44" s="223">
        <v>9</v>
      </c>
      <c r="X44" s="223">
        <v>9</v>
      </c>
      <c r="Y44" s="223">
        <v>3</v>
      </c>
      <c r="Z44" s="214">
        <f t="shared" si="4"/>
        <v>22.86</v>
      </c>
      <c r="AA44" s="214">
        <f t="shared" si="4"/>
        <v>22.86</v>
      </c>
      <c r="AB44" s="214">
        <f t="shared" si="4"/>
        <v>7.62</v>
      </c>
    </row>
    <row r="45" spans="1:28">
      <c r="A45" s="230"/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22"/>
      <c r="S45" s="222"/>
      <c r="T45" s="231"/>
      <c r="U45" s="231"/>
      <c r="V45" s="221"/>
      <c r="W45" s="223"/>
      <c r="X45" s="223"/>
      <c r="Y45" s="223"/>
      <c r="Z45" s="214">
        <f t="shared" si="4"/>
        <v>0</v>
      </c>
      <c r="AA45" s="214">
        <f t="shared" si="4"/>
        <v>0</v>
      </c>
      <c r="AB45" s="214">
        <f t="shared" si="4"/>
        <v>0</v>
      </c>
    </row>
    <row r="46" spans="1:28">
      <c r="A46" s="230">
        <v>23</v>
      </c>
      <c r="B46" s="230">
        <v>23</v>
      </c>
      <c r="C46" s="230" t="s">
        <v>189</v>
      </c>
      <c r="D46" s="230" t="s">
        <v>228</v>
      </c>
      <c r="E46" s="230" t="s">
        <v>257</v>
      </c>
      <c r="F46" s="230" t="s">
        <v>258</v>
      </c>
      <c r="G46" s="230">
        <v>19</v>
      </c>
      <c r="H46" s="230"/>
      <c r="I46" s="230">
        <v>19</v>
      </c>
      <c r="J46" s="230"/>
      <c r="K46" s="230"/>
      <c r="L46" s="230"/>
      <c r="M46" s="230"/>
      <c r="N46" s="230"/>
      <c r="O46" s="230"/>
      <c r="P46" s="230">
        <v>1</v>
      </c>
      <c r="Q46" s="230">
        <v>19</v>
      </c>
      <c r="R46" s="222">
        <f t="shared" si="1"/>
        <v>3.21</v>
      </c>
      <c r="S46" s="222">
        <f t="shared" si="2"/>
        <v>3.76</v>
      </c>
      <c r="T46" s="231">
        <v>3.21</v>
      </c>
      <c r="U46" s="231">
        <v>3.76</v>
      </c>
      <c r="V46" s="221" t="str">
        <f t="shared" si="3"/>
        <v>40.64*36.83*15.24</v>
      </c>
      <c r="W46" s="223">
        <v>16</v>
      </c>
      <c r="X46" s="223">
        <v>14.5</v>
      </c>
      <c r="Y46" s="223">
        <v>6</v>
      </c>
      <c r="Z46" s="214">
        <f t="shared" si="4"/>
        <v>40.64</v>
      </c>
      <c r="AA46" s="214">
        <f t="shared" si="4"/>
        <v>36.83</v>
      </c>
      <c r="AB46" s="214">
        <f t="shared" si="4"/>
        <v>15.24</v>
      </c>
    </row>
    <row r="47" spans="1:28">
      <c r="A47" s="230">
        <v>24</v>
      </c>
      <c r="B47" s="230">
        <v>24</v>
      </c>
      <c r="C47" s="230" t="s">
        <v>189</v>
      </c>
      <c r="D47" s="230"/>
      <c r="E47" s="230"/>
      <c r="F47" s="230"/>
      <c r="G47" s="230">
        <v>23</v>
      </c>
      <c r="H47" s="230"/>
      <c r="I47" s="230"/>
      <c r="J47" s="230">
        <v>23</v>
      </c>
      <c r="K47" s="230"/>
      <c r="L47" s="230"/>
      <c r="M47" s="230"/>
      <c r="N47" s="230"/>
      <c r="O47" s="230"/>
      <c r="P47" s="230">
        <v>1</v>
      </c>
      <c r="Q47" s="230">
        <v>23</v>
      </c>
      <c r="R47" s="222">
        <f t="shared" si="1"/>
        <v>4.08</v>
      </c>
      <c r="S47" s="222">
        <f t="shared" si="2"/>
        <v>4.6399999999999997</v>
      </c>
      <c r="T47" s="231">
        <v>4.08</v>
      </c>
      <c r="U47" s="231">
        <v>4.6399999999999997</v>
      </c>
      <c r="V47" s="221" t="str">
        <f t="shared" si="3"/>
        <v>40.64*35.56*17.78</v>
      </c>
      <c r="W47" s="223">
        <v>16</v>
      </c>
      <c r="X47" s="223">
        <v>14</v>
      </c>
      <c r="Y47" s="223">
        <v>7</v>
      </c>
      <c r="Z47" s="214">
        <f t="shared" si="4"/>
        <v>40.64</v>
      </c>
      <c r="AA47" s="214">
        <f t="shared" si="4"/>
        <v>35.56</v>
      </c>
      <c r="AB47" s="214">
        <f t="shared" si="4"/>
        <v>17.78</v>
      </c>
    </row>
    <row r="48" spans="1:28">
      <c r="A48" s="230">
        <v>25</v>
      </c>
      <c r="B48" s="230">
        <v>25</v>
      </c>
      <c r="C48" s="230" t="s">
        <v>189</v>
      </c>
      <c r="D48" s="230"/>
      <c r="E48" s="230"/>
      <c r="F48" s="230"/>
      <c r="G48" s="230">
        <v>16</v>
      </c>
      <c r="H48" s="230"/>
      <c r="I48" s="230"/>
      <c r="J48" s="230"/>
      <c r="K48" s="230">
        <v>16</v>
      </c>
      <c r="L48" s="230"/>
      <c r="M48" s="230"/>
      <c r="N48" s="230"/>
      <c r="O48" s="230"/>
      <c r="P48" s="230">
        <v>1</v>
      </c>
      <c r="Q48" s="230">
        <v>16</v>
      </c>
      <c r="R48" s="222">
        <f t="shared" si="1"/>
        <v>3.0999999999999996</v>
      </c>
      <c r="S48" s="222">
        <f t="shared" si="2"/>
        <v>3.8</v>
      </c>
      <c r="T48" s="231">
        <v>3.0999999999999996</v>
      </c>
      <c r="U48" s="231">
        <v>3.8</v>
      </c>
      <c r="V48" s="221" t="str">
        <f t="shared" si="3"/>
        <v>46.99*40.64*15.24</v>
      </c>
      <c r="W48" s="223">
        <v>18.5</v>
      </c>
      <c r="X48" s="223">
        <v>16</v>
      </c>
      <c r="Y48" s="223">
        <v>6</v>
      </c>
      <c r="Z48" s="214">
        <f t="shared" si="4"/>
        <v>46.99</v>
      </c>
      <c r="AA48" s="214">
        <f t="shared" si="4"/>
        <v>40.64</v>
      </c>
      <c r="AB48" s="214">
        <f t="shared" si="4"/>
        <v>15.24</v>
      </c>
    </row>
    <row r="49" spans="1:28">
      <c r="A49" s="230">
        <v>26</v>
      </c>
      <c r="B49" s="230">
        <v>26</v>
      </c>
      <c r="C49" s="230" t="s">
        <v>189</v>
      </c>
      <c r="D49" s="230"/>
      <c r="E49" s="230"/>
      <c r="F49" s="230"/>
      <c r="G49" s="230">
        <v>9</v>
      </c>
      <c r="H49" s="230"/>
      <c r="I49" s="230"/>
      <c r="J49" s="230"/>
      <c r="K49" s="230"/>
      <c r="L49" s="230">
        <v>9</v>
      </c>
      <c r="M49" s="230"/>
      <c r="N49" s="230"/>
      <c r="O49" s="230"/>
      <c r="P49" s="230">
        <v>1</v>
      </c>
      <c r="Q49" s="230">
        <v>9</v>
      </c>
      <c r="R49" s="222">
        <f t="shared" si="1"/>
        <v>1.85</v>
      </c>
      <c r="S49" s="222">
        <f t="shared" si="2"/>
        <v>2.5</v>
      </c>
      <c r="T49" s="231">
        <v>1.85</v>
      </c>
      <c r="U49" s="231">
        <v>2.5</v>
      </c>
      <c r="V49" s="221" t="str">
        <f t="shared" si="3"/>
        <v>46.99*40.64*11.43</v>
      </c>
      <c r="W49" s="223">
        <v>18.5</v>
      </c>
      <c r="X49" s="223">
        <v>16</v>
      </c>
      <c r="Y49" s="223">
        <v>4.5</v>
      </c>
      <c r="Z49" s="214">
        <f t="shared" si="4"/>
        <v>46.99</v>
      </c>
      <c r="AA49" s="214">
        <f t="shared" si="4"/>
        <v>40.64</v>
      </c>
      <c r="AB49" s="214">
        <f t="shared" si="4"/>
        <v>11.43</v>
      </c>
    </row>
    <row r="50" spans="1:28">
      <c r="A50" s="230" t="s">
        <v>266</v>
      </c>
      <c r="B50" s="230"/>
      <c r="C50" s="230" t="s">
        <v>198</v>
      </c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22"/>
      <c r="S50" s="222"/>
      <c r="T50" s="231"/>
      <c r="U50" s="231"/>
      <c r="V50" s="221"/>
      <c r="W50" s="223">
        <v>19</v>
      </c>
      <c r="X50" s="223">
        <v>11</v>
      </c>
      <c r="Y50" s="223">
        <v>4.5</v>
      </c>
      <c r="Z50" s="214">
        <f t="shared" si="4"/>
        <v>48.26</v>
      </c>
      <c r="AA50" s="214">
        <f t="shared" si="4"/>
        <v>27.94</v>
      </c>
      <c r="AB50" s="214">
        <f t="shared" si="4"/>
        <v>11.43</v>
      </c>
    </row>
    <row r="51" spans="1:28">
      <c r="A51" s="230">
        <v>27</v>
      </c>
      <c r="B51" s="230">
        <v>27</v>
      </c>
      <c r="C51" s="230" t="s">
        <v>190</v>
      </c>
      <c r="D51" s="230"/>
      <c r="E51" s="230"/>
      <c r="F51" s="230"/>
      <c r="G51" s="230">
        <v>2</v>
      </c>
      <c r="H51" s="230">
        <v>2</v>
      </c>
      <c r="I51" s="230"/>
      <c r="J51" s="230"/>
      <c r="K51" s="230"/>
      <c r="L51" s="230"/>
      <c r="M51" s="230"/>
      <c r="N51" s="230"/>
      <c r="O51" s="230"/>
      <c r="P51" s="230">
        <v>1</v>
      </c>
      <c r="Q51" s="230">
        <v>2</v>
      </c>
      <c r="R51" s="222">
        <f t="shared" si="1"/>
        <v>0.32</v>
      </c>
      <c r="S51" s="222">
        <f t="shared" si="2"/>
        <v>0.52</v>
      </c>
      <c r="T51" s="231">
        <v>0.32</v>
      </c>
      <c r="U51" s="231">
        <v>0.52</v>
      </c>
      <c r="V51" s="221" t="str">
        <f t="shared" si="3"/>
        <v>22.86*22.86*7.62</v>
      </c>
      <c r="W51" s="223">
        <v>9</v>
      </c>
      <c r="X51" s="223">
        <v>9</v>
      </c>
      <c r="Y51" s="223">
        <v>3</v>
      </c>
      <c r="Z51" s="214">
        <f t="shared" si="4"/>
        <v>22.86</v>
      </c>
      <c r="AA51" s="214">
        <f t="shared" si="4"/>
        <v>22.86</v>
      </c>
      <c r="AB51" s="214">
        <f t="shared" si="4"/>
        <v>7.62</v>
      </c>
    </row>
    <row r="52" spans="1:28">
      <c r="A52" s="230">
        <v>28</v>
      </c>
      <c r="B52" s="230">
        <v>28</v>
      </c>
      <c r="C52" s="230" t="s">
        <v>190</v>
      </c>
      <c r="D52" s="230"/>
      <c r="E52" s="230"/>
      <c r="F52" s="230"/>
      <c r="G52" s="230">
        <v>3</v>
      </c>
      <c r="H52" s="230"/>
      <c r="I52" s="230"/>
      <c r="J52" s="230"/>
      <c r="K52" s="230"/>
      <c r="L52" s="230"/>
      <c r="M52" s="230">
        <v>3</v>
      </c>
      <c r="N52" s="230"/>
      <c r="O52" s="230"/>
      <c r="P52" s="230">
        <v>1</v>
      </c>
      <c r="Q52" s="230">
        <v>3</v>
      </c>
      <c r="R52" s="222"/>
      <c r="S52" s="222"/>
      <c r="T52" s="231">
        <v>0.7</v>
      </c>
      <c r="U52" s="231">
        <v>0.9</v>
      </c>
      <c r="V52" s="221" t="str">
        <f t="shared" si="3"/>
        <v>22.86*22.86*7.62</v>
      </c>
      <c r="W52" s="223">
        <v>9</v>
      </c>
      <c r="X52" s="223">
        <v>9</v>
      </c>
      <c r="Y52" s="223">
        <v>3</v>
      </c>
      <c r="Z52" s="214">
        <f t="shared" si="4"/>
        <v>22.86</v>
      </c>
      <c r="AA52" s="214">
        <f t="shared" si="4"/>
        <v>22.86</v>
      </c>
      <c r="AB52" s="214">
        <f t="shared" si="4"/>
        <v>7.62</v>
      </c>
    </row>
    <row r="53" spans="1:28">
      <c r="A53" s="230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22"/>
      <c r="S53" s="222"/>
      <c r="T53" s="231"/>
      <c r="U53" s="231"/>
      <c r="V53" s="221"/>
      <c r="W53" s="223"/>
      <c r="X53" s="223"/>
      <c r="Y53" s="223"/>
    </row>
    <row r="54" spans="1:28">
      <c r="A54" s="230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22"/>
      <c r="S54" s="222"/>
      <c r="T54" s="231"/>
      <c r="U54" s="231"/>
      <c r="V54" s="221"/>
      <c r="W54" s="223"/>
      <c r="X54" s="223"/>
      <c r="Y54" s="223"/>
    </row>
    <row r="55" spans="1:28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22"/>
      <c r="S55" s="222"/>
      <c r="T55" s="231"/>
      <c r="U55" s="231"/>
      <c r="V55" s="230"/>
    </row>
    <row r="56" spans="1:28" s="216" customFormat="1" ht="14.25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>
        <f>SUM(N19:N55)</f>
        <v>0</v>
      </c>
      <c r="O56" s="232">
        <f>SUM(O19:O55)</f>
        <v>0</v>
      </c>
      <c r="P56" s="232">
        <f>SUM(P19:P55)</f>
        <v>28</v>
      </c>
      <c r="Q56" s="232">
        <f>SUM(Q19:Q55)</f>
        <v>480</v>
      </c>
      <c r="R56" s="232"/>
      <c r="S56" s="305"/>
      <c r="T56" s="232">
        <f>SUM(T19:T55)</f>
        <v>64.210000000000008</v>
      </c>
      <c r="U56" s="305">
        <f>SUM(U19:U55)</f>
        <v>213.98</v>
      </c>
      <c r="V56" s="232"/>
    </row>
    <row r="57" spans="1:28" s="216" customFormat="1" ht="14.25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</row>
    <row r="58" spans="1:28">
      <c r="A58" s="223"/>
      <c r="B58" s="223"/>
      <c r="C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224"/>
      <c r="T58" s="224"/>
      <c r="U58" s="224"/>
      <c r="V58" s="215"/>
    </row>
    <row r="59" spans="1:28">
      <c r="C59" s="234" t="s">
        <v>191</v>
      </c>
      <c r="D59" s="234" t="s">
        <v>181</v>
      </c>
      <c r="E59" s="234" t="s">
        <v>192</v>
      </c>
      <c r="F59" s="234" t="s">
        <v>193</v>
      </c>
      <c r="G59" s="234" t="s">
        <v>59</v>
      </c>
      <c r="H59" s="234" t="s">
        <v>27</v>
      </c>
      <c r="I59" s="234" t="s">
        <v>28</v>
      </c>
      <c r="J59" s="234" t="s">
        <v>29</v>
      </c>
      <c r="K59" s="234" t="s">
        <v>30</v>
      </c>
      <c r="L59" s="234" t="s">
        <v>145</v>
      </c>
      <c r="M59" s="234"/>
      <c r="N59" s="234"/>
      <c r="O59" s="234"/>
      <c r="P59" s="219" t="s">
        <v>31</v>
      </c>
      <c r="Q59" s="219" t="s">
        <v>32</v>
      </c>
    </row>
    <row r="60" spans="1:28" ht="15.75">
      <c r="C60" s="235" t="s">
        <v>211</v>
      </c>
      <c r="D60" s="235" t="s">
        <v>219</v>
      </c>
      <c r="E60" s="235" t="s">
        <v>220</v>
      </c>
      <c r="F60" s="235" t="s">
        <v>232</v>
      </c>
      <c r="G60" s="306">
        <v>11</v>
      </c>
      <c r="H60" s="306">
        <v>54</v>
      </c>
      <c r="I60" s="306">
        <v>68</v>
      </c>
      <c r="J60" s="306">
        <v>49</v>
      </c>
      <c r="K60" s="306">
        <v>25</v>
      </c>
      <c r="L60" s="375">
        <v>9</v>
      </c>
      <c r="M60" s="234"/>
      <c r="N60" s="234"/>
      <c r="O60" s="234"/>
      <c r="P60" s="235">
        <v>9</v>
      </c>
      <c r="Q60" s="235">
        <v>216</v>
      </c>
      <c r="W60" s="214">
        <f>+SUM(G60:K60)</f>
        <v>207</v>
      </c>
      <c r="X60" s="214">
        <f>+Q60-W60</f>
        <v>9</v>
      </c>
    </row>
    <row r="61" spans="1:28" ht="15.75">
      <c r="C61" s="235" t="s">
        <v>211</v>
      </c>
      <c r="D61" s="235" t="s">
        <v>227</v>
      </c>
      <c r="E61" s="235" t="s">
        <v>220</v>
      </c>
      <c r="F61" s="235" t="s">
        <v>232</v>
      </c>
      <c r="G61" s="306">
        <v>4</v>
      </c>
      <c r="H61" s="306">
        <v>34</v>
      </c>
      <c r="I61" s="306">
        <v>39</v>
      </c>
      <c r="J61" s="306">
        <v>28</v>
      </c>
      <c r="K61" s="306">
        <v>13</v>
      </c>
      <c r="L61" s="375">
        <v>2</v>
      </c>
      <c r="M61" s="234"/>
      <c r="N61" s="234"/>
      <c r="O61" s="234"/>
      <c r="P61" s="235">
        <v>7</v>
      </c>
      <c r="Q61" s="235">
        <v>120</v>
      </c>
    </row>
    <row r="62" spans="1:28" ht="15.75">
      <c r="C62" s="235" t="s">
        <v>211</v>
      </c>
      <c r="D62" s="235" t="s">
        <v>228</v>
      </c>
      <c r="E62" s="235" t="s">
        <v>229</v>
      </c>
      <c r="F62" s="235" t="s">
        <v>268</v>
      </c>
      <c r="G62" s="306">
        <v>2</v>
      </c>
      <c r="H62" s="306">
        <v>19</v>
      </c>
      <c r="I62" s="306">
        <v>23</v>
      </c>
      <c r="J62" s="306">
        <v>16</v>
      </c>
      <c r="K62" s="306">
        <v>9</v>
      </c>
      <c r="L62" s="375">
        <v>3</v>
      </c>
      <c r="M62" s="234"/>
      <c r="N62" s="234"/>
      <c r="O62" s="234"/>
      <c r="P62" s="235">
        <v>6</v>
      </c>
      <c r="Q62" s="235">
        <v>72</v>
      </c>
    </row>
    <row r="63" spans="1:28" ht="15.75">
      <c r="C63" s="235" t="s">
        <v>211</v>
      </c>
      <c r="D63" s="235" t="s">
        <v>228</v>
      </c>
      <c r="E63" s="235" t="s">
        <v>223</v>
      </c>
      <c r="F63" s="235" t="s">
        <v>258</v>
      </c>
      <c r="G63" s="306">
        <v>2</v>
      </c>
      <c r="H63" s="306">
        <v>19</v>
      </c>
      <c r="I63" s="306">
        <v>23</v>
      </c>
      <c r="J63" s="306">
        <v>16</v>
      </c>
      <c r="K63" s="306">
        <v>9</v>
      </c>
      <c r="L63" s="375">
        <v>3</v>
      </c>
      <c r="M63" s="234"/>
      <c r="N63" s="234"/>
      <c r="O63" s="234"/>
      <c r="P63" s="235">
        <v>6</v>
      </c>
      <c r="Q63" s="235">
        <v>72</v>
      </c>
    </row>
    <row r="64" spans="1:28">
      <c r="C64" s="235"/>
      <c r="D64" s="235"/>
      <c r="E64" s="235"/>
      <c r="F64" s="235"/>
      <c r="G64" s="230"/>
      <c r="H64" s="230"/>
      <c r="I64" s="230"/>
      <c r="J64" s="230"/>
      <c r="K64" s="230"/>
      <c r="L64" s="234"/>
      <c r="M64" s="234"/>
      <c r="N64" s="234"/>
      <c r="O64" s="234"/>
      <c r="P64" s="235"/>
      <c r="Q64" s="235"/>
    </row>
    <row r="65" spans="3:17"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</row>
    <row r="66" spans="3:17">
      <c r="C66" s="215"/>
      <c r="D66" s="215"/>
      <c r="E66" s="215"/>
      <c r="F66" s="215"/>
      <c r="G66" s="215"/>
      <c r="H66" s="215"/>
      <c r="I66" s="215"/>
      <c r="J66" s="218" t="s">
        <v>33</v>
      </c>
      <c r="K66" s="215"/>
      <c r="L66" s="218"/>
      <c r="M66" s="218"/>
      <c r="N66" s="218"/>
      <c r="O66" s="218"/>
      <c r="P66" s="218">
        <f>SUM(P60:P64)</f>
        <v>28</v>
      </c>
      <c r="Q66" s="218">
        <f>SUM(Q60:Q64)</f>
        <v>480</v>
      </c>
    </row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D18" xr:uid="{00000000-0009-0000-0000-000005000000}">
    <filterColumn colId="0" showButton="0"/>
    <filterColumn colId="1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98402777777777795" bottom="0.98402777777777795" header="0.51180555555555496" footer="0.51180555555555496"/>
  <pageSetup scale="54" fitToHeight="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4414-B64E-4D6D-A255-83FB00290B63}">
  <sheetPr>
    <tabColor theme="0" tint="-0.14999847407452621"/>
    <pageSetUpPr fitToPage="1"/>
  </sheetPr>
  <dimension ref="A1:HW20"/>
  <sheetViews>
    <sheetView view="pageBreakPreview" topLeftCell="A9" zoomScale="60" zoomScaleNormal="80" workbookViewId="0">
      <selection activeCell="J7" sqref="J7"/>
    </sheetView>
  </sheetViews>
  <sheetFormatPr defaultColWidth="9" defaultRowHeight="15"/>
  <cols>
    <col min="1" max="1" width="17" style="313" customWidth="1"/>
    <col min="2" max="2" width="29.5" style="313" customWidth="1"/>
    <col min="3" max="3" width="15.25" style="313" customWidth="1"/>
    <col min="4" max="5" width="11.375" style="313" customWidth="1"/>
    <col min="6" max="6" width="15" style="313" customWidth="1"/>
    <col min="7" max="7" width="13.625" style="313" customWidth="1"/>
    <col min="8" max="11" width="13.625" style="344" customWidth="1"/>
    <col min="12" max="12" width="13.375" style="345" customWidth="1"/>
    <col min="13" max="13" width="11.25" style="344" customWidth="1"/>
    <col min="14" max="14" width="10.25" style="313" customWidth="1"/>
    <col min="15" max="15" width="27.125" style="313" customWidth="1"/>
    <col min="16" max="16384" width="9" style="313"/>
  </cols>
  <sheetData>
    <row r="1" spans="1:231" s="308" customFormat="1" ht="21.75" customHeight="1">
      <c r="A1" s="31" t="s">
        <v>151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2" spans="1:231" s="308" customFormat="1" ht="22.5" customHeight="1">
      <c r="A2" s="14" t="s">
        <v>152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10"/>
      <c r="BO2" s="310"/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10"/>
      <c r="CB2" s="310"/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10"/>
      <c r="CO2" s="310"/>
      <c r="CP2" s="310"/>
      <c r="CQ2" s="310"/>
      <c r="CR2" s="310"/>
      <c r="CS2" s="310"/>
      <c r="CT2" s="310"/>
      <c r="CU2" s="310"/>
      <c r="CV2" s="310"/>
      <c r="CW2" s="310"/>
      <c r="CX2" s="310"/>
      <c r="CY2" s="310"/>
      <c r="CZ2" s="310"/>
      <c r="DA2" s="310"/>
      <c r="DB2" s="310"/>
      <c r="DC2" s="310"/>
      <c r="DD2" s="310"/>
      <c r="DE2" s="310"/>
      <c r="DF2" s="310"/>
      <c r="DG2" s="310"/>
      <c r="DH2" s="310"/>
      <c r="DI2" s="310"/>
      <c r="DJ2" s="310"/>
      <c r="DK2" s="310"/>
      <c r="DL2" s="310"/>
      <c r="DM2" s="310"/>
      <c r="DN2" s="310"/>
      <c r="DO2" s="310"/>
      <c r="DP2" s="310"/>
      <c r="DQ2" s="310"/>
      <c r="DR2" s="310"/>
      <c r="DS2" s="310"/>
      <c r="DT2" s="310"/>
      <c r="DU2" s="310"/>
      <c r="DV2" s="310"/>
      <c r="DW2" s="310"/>
      <c r="DX2" s="310"/>
      <c r="DY2" s="310"/>
      <c r="DZ2" s="310"/>
      <c r="EA2" s="310"/>
      <c r="EB2" s="310"/>
      <c r="EC2" s="310"/>
      <c r="ED2" s="310"/>
      <c r="EE2" s="310"/>
      <c r="EF2" s="310"/>
      <c r="EG2" s="310"/>
      <c r="EH2" s="310"/>
      <c r="EI2" s="310"/>
      <c r="EJ2" s="310"/>
      <c r="EK2" s="310"/>
      <c r="EL2" s="310"/>
      <c r="EM2" s="310"/>
      <c r="EN2" s="310"/>
      <c r="EO2" s="310"/>
      <c r="EP2" s="310"/>
      <c r="EQ2" s="310"/>
      <c r="ER2" s="310"/>
      <c r="ES2" s="310"/>
      <c r="ET2" s="310"/>
      <c r="EU2" s="310"/>
      <c r="EV2" s="310"/>
      <c r="EW2" s="310"/>
      <c r="EX2" s="310"/>
      <c r="EY2" s="310"/>
      <c r="EZ2" s="310"/>
      <c r="FA2" s="310"/>
      <c r="FB2" s="310"/>
      <c r="FC2" s="310"/>
      <c r="FD2" s="310"/>
      <c r="FE2" s="310"/>
      <c r="FF2" s="310"/>
      <c r="FG2" s="310"/>
      <c r="FH2" s="310"/>
      <c r="FI2" s="310"/>
      <c r="FJ2" s="310"/>
      <c r="FK2" s="310"/>
      <c r="FL2" s="310"/>
      <c r="FM2" s="310"/>
      <c r="FN2" s="310"/>
      <c r="FO2" s="310"/>
      <c r="FP2" s="310"/>
      <c r="FQ2" s="310"/>
      <c r="FR2" s="310"/>
      <c r="FS2" s="310"/>
      <c r="FT2" s="310"/>
      <c r="FU2" s="310"/>
      <c r="FV2" s="310"/>
      <c r="FW2" s="310"/>
      <c r="FX2" s="310"/>
      <c r="FY2" s="310"/>
      <c r="FZ2" s="310"/>
      <c r="GA2" s="310"/>
      <c r="GB2" s="310"/>
      <c r="GC2" s="310"/>
      <c r="GD2" s="310"/>
      <c r="GE2" s="310"/>
      <c r="GF2" s="310"/>
      <c r="GG2" s="310"/>
      <c r="GH2" s="310"/>
      <c r="GI2" s="310"/>
      <c r="GJ2" s="310"/>
      <c r="GK2" s="310"/>
      <c r="GL2" s="310"/>
      <c r="GM2" s="310"/>
      <c r="GN2" s="310"/>
      <c r="GO2" s="310"/>
      <c r="GP2" s="310"/>
      <c r="GQ2" s="310"/>
      <c r="GR2" s="310"/>
      <c r="GS2" s="310"/>
      <c r="GT2" s="310"/>
      <c r="GU2" s="310"/>
      <c r="GV2" s="310"/>
      <c r="GW2" s="310"/>
      <c r="GX2" s="310"/>
      <c r="GY2" s="310"/>
      <c r="GZ2" s="310"/>
      <c r="HA2" s="310"/>
      <c r="HB2" s="310"/>
      <c r="HC2" s="310"/>
      <c r="HD2" s="310"/>
      <c r="HE2" s="310"/>
      <c r="HF2" s="310"/>
      <c r="HG2" s="310"/>
      <c r="HH2" s="310"/>
      <c r="HI2" s="310"/>
      <c r="HJ2" s="310"/>
      <c r="HK2" s="310"/>
      <c r="HL2" s="310"/>
      <c r="HM2" s="310"/>
      <c r="HN2" s="310"/>
      <c r="HO2" s="310"/>
      <c r="HP2" s="310"/>
      <c r="HQ2" s="310"/>
      <c r="HR2" s="310"/>
      <c r="HS2" s="310"/>
      <c r="HT2" s="310"/>
      <c r="HU2" s="310"/>
    </row>
    <row r="3" spans="1:231" ht="23.25" customHeight="1">
      <c r="A3" s="14" t="s">
        <v>153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2"/>
      <c r="AR3" s="312"/>
      <c r="AS3" s="312"/>
      <c r="AT3" s="312"/>
      <c r="AU3" s="312"/>
      <c r="AV3" s="312"/>
      <c r="AW3" s="312"/>
      <c r="AX3" s="312"/>
      <c r="AY3" s="312"/>
      <c r="AZ3" s="312"/>
      <c r="BA3" s="312"/>
      <c r="BB3" s="312"/>
      <c r="BC3" s="312"/>
      <c r="BD3" s="312"/>
      <c r="BE3" s="312"/>
      <c r="BF3" s="312"/>
      <c r="BG3" s="312"/>
      <c r="BH3" s="312"/>
      <c r="BI3" s="312"/>
      <c r="BJ3" s="312"/>
      <c r="BK3" s="312"/>
      <c r="BL3" s="312"/>
      <c r="BM3" s="312"/>
      <c r="BN3" s="312"/>
      <c r="BO3" s="312"/>
      <c r="BP3" s="312"/>
      <c r="BQ3" s="312"/>
      <c r="BR3" s="312"/>
      <c r="BS3" s="312"/>
      <c r="BT3" s="312"/>
      <c r="BU3" s="312"/>
      <c r="BV3" s="312"/>
      <c r="BW3" s="312"/>
      <c r="BX3" s="312"/>
      <c r="BY3" s="312"/>
      <c r="BZ3" s="312"/>
      <c r="CA3" s="312"/>
      <c r="CB3" s="312"/>
      <c r="CC3" s="312"/>
      <c r="CD3" s="312"/>
      <c r="CE3" s="312"/>
      <c r="CF3" s="312"/>
      <c r="CG3" s="312"/>
      <c r="CH3" s="312"/>
      <c r="CI3" s="312"/>
      <c r="CJ3" s="312"/>
      <c r="CK3" s="312"/>
      <c r="CL3" s="312"/>
      <c r="CM3" s="312"/>
      <c r="CN3" s="312"/>
      <c r="CO3" s="312"/>
      <c r="CP3" s="312"/>
      <c r="CQ3" s="312"/>
      <c r="CR3" s="312"/>
      <c r="CS3" s="312"/>
      <c r="CT3" s="312"/>
      <c r="CU3" s="312"/>
      <c r="CV3" s="312"/>
      <c r="CW3" s="312"/>
      <c r="CX3" s="312"/>
      <c r="CY3" s="312"/>
      <c r="CZ3" s="312"/>
      <c r="DA3" s="312"/>
      <c r="DB3" s="312"/>
      <c r="DC3" s="312"/>
      <c r="DD3" s="312"/>
      <c r="DE3" s="312"/>
      <c r="DF3" s="312"/>
      <c r="DG3" s="312"/>
      <c r="DH3" s="312"/>
      <c r="DI3" s="312"/>
      <c r="DJ3" s="312"/>
      <c r="DK3" s="312"/>
      <c r="DL3" s="312"/>
      <c r="DM3" s="312"/>
      <c r="DN3" s="312"/>
      <c r="DO3" s="312"/>
      <c r="DP3" s="312"/>
      <c r="DQ3" s="312"/>
      <c r="DR3" s="312"/>
      <c r="DS3" s="312"/>
      <c r="DT3" s="312"/>
      <c r="DU3" s="312"/>
      <c r="DV3" s="312"/>
      <c r="DW3" s="312"/>
      <c r="DX3" s="312"/>
      <c r="DY3" s="312"/>
      <c r="DZ3" s="312"/>
      <c r="EA3" s="312"/>
      <c r="EB3" s="312"/>
      <c r="EC3" s="312"/>
      <c r="ED3" s="312"/>
      <c r="EE3" s="312"/>
      <c r="EF3" s="312"/>
      <c r="EG3" s="312"/>
      <c r="EH3" s="312"/>
      <c r="EI3" s="312"/>
      <c r="EJ3" s="312"/>
      <c r="EK3" s="312"/>
      <c r="EL3" s="312"/>
      <c r="EM3" s="312"/>
      <c r="EN3" s="312"/>
      <c r="EO3" s="312"/>
      <c r="EP3" s="312"/>
      <c r="EQ3" s="312"/>
      <c r="ER3" s="312"/>
      <c r="ES3" s="312"/>
      <c r="ET3" s="312"/>
      <c r="EU3" s="312"/>
      <c r="EV3" s="312"/>
      <c r="EW3" s="312"/>
      <c r="EX3" s="312"/>
      <c r="EY3" s="312"/>
      <c r="EZ3" s="312"/>
      <c r="FA3" s="312"/>
      <c r="FB3" s="312"/>
      <c r="FC3" s="312"/>
      <c r="FD3" s="312"/>
      <c r="FE3" s="312"/>
      <c r="FF3" s="312"/>
      <c r="FG3" s="312"/>
      <c r="FH3" s="312"/>
      <c r="FI3" s="312"/>
      <c r="FJ3" s="312"/>
      <c r="FK3" s="312"/>
      <c r="FL3" s="312"/>
      <c r="FM3" s="312"/>
      <c r="FN3" s="312"/>
      <c r="FO3" s="312"/>
      <c r="FP3" s="312"/>
      <c r="FQ3" s="312"/>
      <c r="FR3" s="312"/>
      <c r="FS3" s="312"/>
      <c r="FT3" s="312"/>
      <c r="FU3" s="312"/>
      <c r="FV3" s="312"/>
      <c r="FW3" s="312"/>
      <c r="FX3" s="312"/>
      <c r="FY3" s="312"/>
      <c r="FZ3" s="312"/>
      <c r="GA3" s="312"/>
      <c r="GB3" s="312"/>
      <c r="GC3" s="312"/>
      <c r="GD3" s="312"/>
      <c r="GE3" s="312"/>
      <c r="GF3" s="312"/>
      <c r="GG3" s="312"/>
      <c r="GH3" s="312"/>
      <c r="GI3" s="312"/>
      <c r="GJ3" s="312"/>
      <c r="GK3" s="312"/>
      <c r="GL3" s="312"/>
      <c r="GM3" s="312"/>
      <c r="GN3" s="312"/>
      <c r="GO3" s="312"/>
      <c r="GP3" s="312"/>
      <c r="GQ3" s="312"/>
      <c r="GR3" s="312"/>
      <c r="GS3" s="312"/>
      <c r="GT3" s="312"/>
      <c r="GU3" s="312"/>
      <c r="GV3" s="312"/>
      <c r="GW3" s="312"/>
      <c r="GX3" s="312"/>
      <c r="GY3" s="312"/>
      <c r="GZ3" s="312"/>
      <c r="HA3" s="312"/>
      <c r="HB3" s="312"/>
      <c r="HC3" s="312"/>
      <c r="HD3" s="312"/>
      <c r="HE3" s="312"/>
      <c r="HF3" s="312"/>
      <c r="HG3" s="312"/>
      <c r="HH3" s="312"/>
      <c r="HI3" s="312"/>
      <c r="HJ3" s="312"/>
      <c r="HK3" s="312"/>
      <c r="HL3" s="312"/>
      <c r="HM3" s="312"/>
      <c r="HN3" s="312"/>
      <c r="HO3" s="312"/>
      <c r="HP3" s="312"/>
      <c r="HQ3" s="312"/>
      <c r="HR3" s="312"/>
      <c r="HS3" s="312"/>
      <c r="HT3" s="312"/>
      <c r="HU3" s="312"/>
    </row>
    <row r="4" spans="1:231" s="315" customFormat="1" ht="23.25" customHeight="1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</row>
    <row r="5" spans="1:231" s="315" customFormat="1" ht="23.25" customHeight="1">
      <c r="A5" s="316" t="s">
        <v>233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6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  <c r="BE5" s="316"/>
      <c r="BF5" s="316"/>
      <c r="BG5" s="316"/>
      <c r="BH5" s="316"/>
      <c r="BI5" s="316"/>
      <c r="BJ5" s="316"/>
      <c r="BK5" s="316"/>
      <c r="BL5" s="316"/>
      <c r="BM5" s="316"/>
      <c r="BN5" s="316"/>
      <c r="BO5" s="316"/>
      <c r="BP5" s="316"/>
      <c r="BQ5" s="316"/>
      <c r="BR5" s="316"/>
      <c r="BS5" s="316"/>
      <c r="BT5" s="316"/>
      <c r="BU5" s="316"/>
      <c r="BV5" s="316"/>
      <c r="BW5" s="316"/>
      <c r="BX5" s="316"/>
      <c r="BY5" s="316"/>
      <c r="BZ5" s="316"/>
      <c r="CA5" s="316"/>
      <c r="CB5" s="316"/>
      <c r="CC5" s="316"/>
      <c r="CD5" s="316"/>
      <c r="CE5" s="316"/>
      <c r="CF5" s="316"/>
      <c r="CG5" s="316"/>
      <c r="CH5" s="316"/>
      <c r="CI5" s="316"/>
      <c r="CJ5" s="316"/>
      <c r="CK5" s="316"/>
      <c r="CL5" s="316"/>
      <c r="CM5" s="316"/>
      <c r="CN5" s="316"/>
      <c r="CO5" s="316"/>
      <c r="CP5" s="316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J5" s="316"/>
      <c r="FK5" s="316"/>
      <c r="FL5" s="316"/>
      <c r="FM5" s="316"/>
      <c r="FN5" s="316"/>
      <c r="FO5" s="316"/>
      <c r="FP5" s="316"/>
      <c r="FQ5" s="316"/>
      <c r="FR5" s="316"/>
      <c r="FS5" s="316"/>
      <c r="FT5" s="316"/>
      <c r="FU5" s="316"/>
      <c r="FV5" s="316"/>
      <c r="FW5" s="316"/>
      <c r="FX5" s="316"/>
      <c r="FY5" s="316"/>
      <c r="FZ5" s="316"/>
      <c r="GA5" s="316"/>
      <c r="GB5" s="316"/>
      <c r="GC5" s="316"/>
      <c r="GD5" s="316"/>
      <c r="GE5" s="316"/>
      <c r="GF5" s="316"/>
      <c r="GG5" s="316"/>
      <c r="GH5" s="316"/>
      <c r="GI5" s="316"/>
      <c r="GJ5" s="316"/>
      <c r="GK5" s="316"/>
      <c r="GL5" s="316"/>
      <c r="GM5" s="316"/>
      <c r="GN5" s="316"/>
      <c r="GO5" s="316"/>
      <c r="GP5" s="316"/>
      <c r="GQ5" s="316"/>
      <c r="GR5" s="316"/>
      <c r="GS5" s="316"/>
      <c r="GT5" s="316"/>
      <c r="GU5" s="316"/>
      <c r="GV5" s="316"/>
      <c r="GW5" s="316"/>
      <c r="GX5" s="316"/>
      <c r="GY5" s="316"/>
      <c r="GZ5" s="316"/>
      <c r="HA5" s="316"/>
      <c r="HB5" s="316"/>
      <c r="HC5" s="316"/>
      <c r="HD5" s="316"/>
      <c r="HE5" s="316"/>
      <c r="HF5" s="316"/>
      <c r="HG5" s="316"/>
      <c r="HH5" s="316"/>
      <c r="HI5" s="316"/>
      <c r="HJ5" s="316"/>
      <c r="HK5" s="316"/>
      <c r="HL5" s="316"/>
      <c r="HM5" s="316"/>
      <c r="HN5" s="316"/>
      <c r="HO5" s="316"/>
      <c r="HP5" s="316"/>
      <c r="HQ5" s="316"/>
      <c r="HR5" s="316"/>
      <c r="HS5" s="316"/>
      <c r="HT5" s="316"/>
      <c r="HU5" s="316"/>
      <c r="HV5" s="316"/>
      <c r="HW5" s="316"/>
    </row>
    <row r="6" spans="1:231" s="317" customFormat="1" ht="30.75" customHeight="1">
      <c r="A6" s="318" t="s">
        <v>234</v>
      </c>
      <c r="B6" s="319" t="s">
        <v>212</v>
      </c>
      <c r="H6" s="320"/>
      <c r="I6" s="320"/>
      <c r="J6" s="320"/>
      <c r="K6" s="320"/>
      <c r="L6" s="321"/>
      <c r="M6" s="320"/>
    </row>
    <row r="7" spans="1:231" s="317" customFormat="1" ht="30.75" customHeight="1">
      <c r="A7" s="318" t="s">
        <v>235</v>
      </c>
      <c r="B7" s="322">
        <f>+L19</f>
        <v>6</v>
      </c>
      <c r="H7" s="320"/>
      <c r="I7" s="320"/>
      <c r="J7" s="320"/>
      <c r="K7" s="320"/>
      <c r="L7" s="321"/>
      <c r="M7" s="320"/>
    </row>
    <row r="8" spans="1:231" s="317" customFormat="1" ht="30.75" customHeight="1">
      <c r="A8" s="323"/>
      <c r="B8" s="322"/>
      <c r="H8" s="320"/>
      <c r="I8" s="320"/>
      <c r="J8" s="320"/>
      <c r="K8" s="320"/>
      <c r="L8" s="321"/>
      <c r="M8" s="320"/>
    </row>
    <row r="9" spans="1:231" s="317" customFormat="1" ht="30.75" customHeight="1">
      <c r="A9" s="324" t="s">
        <v>236</v>
      </c>
      <c r="B9" s="324" t="s">
        <v>237</v>
      </c>
      <c r="C9" s="324" t="s">
        <v>238</v>
      </c>
      <c r="D9" s="325" t="s">
        <v>239</v>
      </c>
      <c r="E9" s="326"/>
      <c r="F9" s="324" t="s">
        <v>26</v>
      </c>
      <c r="G9" s="324" t="s">
        <v>59</v>
      </c>
      <c r="H9" s="327" t="s">
        <v>27</v>
      </c>
      <c r="I9" s="328" t="s">
        <v>28</v>
      </c>
      <c r="J9" s="328" t="s">
        <v>29</v>
      </c>
      <c r="K9" s="328" t="s">
        <v>30</v>
      </c>
      <c r="L9" s="329" t="s">
        <v>31</v>
      </c>
      <c r="M9" s="329" t="s">
        <v>32</v>
      </c>
      <c r="N9" s="330" t="s">
        <v>186</v>
      </c>
      <c r="O9" s="330" t="s">
        <v>240</v>
      </c>
    </row>
    <row r="10" spans="1:231" s="338" customFormat="1" ht="30.75" customHeight="1">
      <c r="A10" s="331" t="s">
        <v>219</v>
      </c>
      <c r="B10" s="331" t="s">
        <v>231</v>
      </c>
      <c r="C10" s="331" t="s">
        <v>232</v>
      </c>
      <c r="D10" s="331">
        <v>1</v>
      </c>
      <c r="E10" s="331">
        <v>1</v>
      </c>
      <c r="F10" s="332">
        <v>24</v>
      </c>
      <c r="G10" s="332">
        <v>24</v>
      </c>
      <c r="H10" s="332"/>
      <c r="I10" s="332"/>
      <c r="J10" s="332"/>
      <c r="K10" s="332"/>
      <c r="L10" s="333">
        <v>1</v>
      </c>
      <c r="M10" s="334">
        <v>24</v>
      </c>
      <c r="N10" s="369">
        <v>2.58</v>
      </c>
      <c r="O10" s="335" t="str">
        <f>+V10</f>
        <v>40.64*38.1*8.89</v>
      </c>
      <c r="P10" s="336">
        <v>16</v>
      </c>
      <c r="Q10" s="337">
        <v>15</v>
      </c>
      <c r="R10" s="337">
        <v>3.5</v>
      </c>
      <c r="S10" s="338">
        <f>+P10*2.54</f>
        <v>40.64</v>
      </c>
      <c r="T10" s="338">
        <f t="shared" ref="T10:U17" si="0">+Q10*2.54</f>
        <v>38.1</v>
      </c>
      <c r="U10" s="338">
        <f t="shared" si="0"/>
        <v>8.89</v>
      </c>
      <c r="V10" s="338" t="str">
        <f>S10&amp;"*"&amp;T10&amp;"*"&amp;U10</f>
        <v>40.64*38.1*8.89</v>
      </c>
    </row>
    <row r="11" spans="1:231" s="338" customFormat="1" ht="30.75" customHeight="1">
      <c r="A11" s="331" t="s">
        <v>219</v>
      </c>
      <c r="B11" s="331" t="s">
        <v>231</v>
      </c>
      <c r="C11" s="331" t="s">
        <v>232</v>
      </c>
      <c r="D11" s="331">
        <v>2</v>
      </c>
      <c r="E11" s="331">
        <v>2</v>
      </c>
      <c r="F11" s="332">
        <v>24</v>
      </c>
      <c r="G11" s="332"/>
      <c r="H11" s="332">
        <v>24</v>
      </c>
      <c r="I11" s="332"/>
      <c r="J11" s="332"/>
      <c r="K11" s="332"/>
      <c r="L11" s="333">
        <v>1</v>
      </c>
      <c r="M11" s="334">
        <v>24</v>
      </c>
      <c r="N11" s="369">
        <v>2.74</v>
      </c>
      <c r="O11" s="335" t="str">
        <f t="shared" ref="O11:O17" si="1">+V11</f>
        <v>40.64*38.1*8.89</v>
      </c>
      <c r="P11" s="336">
        <v>16</v>
      </c>
      <c r="Q11" s="337">
        <v>15</v>
      </c>
      <c r="R11" s="337">
        <v>3.5</v>
      </c>
      <c r="S11" s="338">
        <f t="shared" ref="S11:S17" si="2">+P11*2.54</f>
        <v>40.64</v>
      </c>
      <c r="T11" s="338">
        <f t="shared" si="0"/>
        <v>38.1</v>
      </c>
      <c r="U11" s="338">
        <f t="shared" si="0"/>
        <v>8.89</v>
      </c>
      <c r="V11" s="338" t="str">
        <f t="shared" ref="V11:V17" si="3">S11&amp;"*"&amp;T11&amp;"*"&amp;U11</f>
        <v>40.64*38.1*8.89</v>
      </c>
    </row>
    <row r="12" spans="1:231" s="338" customFormat="1" ht="30.75" customHeight="1">
      <c r="A12" s="331" t="s">
        <v>219</v>
      </c>
      <c r="B12" s="331" t="s">
        <v>231</v>
      </c>
      <c r="C12" s="331" t="s">
        <v>232</v>
      </c>
      <c r="D12" s="331">
        <v>3</v>
      </c>
      <c r="E12" s="331">
        <v>3</v>
      </c>
      <c r="F12" s="332">
        <v>24</v>
      </c>
      <c r="G12" s="332"/>
      <c r="H12" s="332"/>
      <c r="I12" s="332">
        <v>24</v>
      </c>
      <c r="J12" s="332"/>
      <c r="K12" s="332"/>
      <c r="L12" s="333">
        <v>1</v>
      </c>
      <c r="M12" s="334">
        <v>24</v>
      </c>
      <c r="N12" s="369">
        <v>2.86</v>
      </c>
      <c r="O12" s="335" t="str">
        <f t="shared" si="1"/>
        <v>40.64*38.1*8.89</v>
      </c>
      <c r="P12" s="336">
        <v>16</v>
      </c>
      <c r="Q12" s="337">
        <v>15</v>
      </c>
      <c r="R12" s="337">
        <v>3.5</v>
      </c>
      <c r="S12" s="338">
        <f t="shared" si="2"/>
        <v>40.64</v>
      </c>
      <c r="T12" s="338">
        <f t="shared" si="0"/>
        <v>38.1</v>
      </c>
      <c r="U12" s="338">
        <f t="shared" si="0"/>
        <v>8.89</v>
      </c>
      <c r="V12" s="338" t="str">
        <f t="shared" si="3"/>
        <v>40.64*38.1*8.89</v>
      </c>
    </row>
    <row r="13" spans="1:231" s="373" customFormat="1" ht="30.75" customHeight="1">
      <c r="A13" s="352"/>
      <c r="B13" s="352"/>
      <c r="C13" s="352"/>
      <c r="D13" s="352"/>
      <c r="E13" s="352"/>
      <c r="F13" s="370"/>
      <c r="G13" s="370"/>
      <c r="H13" s="370"/>
      <c r="I13" s="370"/>
      <c r="J13" s="370"/>
      <c r="K13" s="370"/>
      <c r="L13" s="339">
        <v>3</v>
      </c>
      <c r="M13" s="377">
        <v>72</v>
      </c>
      <c r="N13" s="378">
        <v>8.18</v>
      </c>
      <c r="O13" s="335"/>
      <c r="P13" s="371"/>
      <c r="Q13" s="372"/>
      <c r="R13" s="372"/>
      <c r="S13" s="373">
        <f t="shared" si="2"/>
        <v>0</v>
      </c>
      <c r="T13" s="373">
        <f t="shared" si="0"/>
        <v>0</v>
      </c>
      <c r="U13" s="373">
        <f t="shared" si="0"/>
        <v>0</v>
      </c>
      <c r="V13" s="373" t="str">
        <f t="shared" si="3"/>
        <v>0*0*0</v>
      </c>
    </row>
    <row r="14" spans="1:231" s="338" customFormat="1" ht="30.75" customHeight="1">
      <c r="A14" s="331" t="s">
        <v>221</v>
      </c>
      <c r="B14" s="331" t="s">
        <v>231</v>
      </c>
      <c r="C14" s="331" t="s">
        <v>232</v>
      </c>
      <c r="D14" s="331">
        <v>4</v>
      </c>
      <c r="E14" s="331">
        <v>4</v>
      </c>
      <c r="F14" s="332">
        <v>24</v>
      </c>
      <c r="G14" s="332">
        <v>24</v>
      </c>
      <c r="H14" s="332"/>
      <c r="I14" s="332"/>
      <c r="J14" s="332"/>
      <c r="K14" s="332"/>
      <c r="L14" s="333">
        <v>1</v>
      </c>
      <c r="M14" s="334">
        <v>24</v>
      </c>
      <c r="N14" s="369">
        <v>2.46</v>
      </c>
      <c r="O14" s="335" t="str">
        <f t="shared" si="1"/>
        <v>40.64*38.1*13.97</v>
      </c>
      <c r="P14" s="336">
        <v>16</v>
      </c>
      <c r="Q14" s="337">
        <v>15</v>
      </c>
      <c r="R14" s="337">
        <v>5.5</v>
      </c>
      <c r="S14" s="338">
        <f t="shared" si="2"/>
        <v>40.64</v>
      </c>
      <c r="T14" s="338">
        <f t="shared" si="0"/>
        <v>38.1</v>
      </c>
      <c r="U14" s="338">
        <f t="shared" si="0"/>
        <v>13.97</v>
      </c>
      <c r="V14" s="338" t="str">
        <f t="shared" si="3"/>
        <v>40.64*38.1*13.97</v>
      </c>
    </row>
    <row r="15" spans="1:231" s="338" customFormat="1" ht="30.75" customHeight="1">
      <c r="A15" s="331" t="s">
        <v>221</v>
      </c>
      <c r="B15" s="331" t="s">
        <v>231</v>
      </c>
      <c r="C15" s="331" t="s">
        <v>232</v>
      </c>
      <c r="D15" s="331">
        <v>5</v>
      </c>
      <c r="E15" s="331">
        <v>5</v>
      </c>
      <c r="F15" s="332">
        <v>24</v>
      </c>
      <c r="G15" s="332"/>
      <c r="H15" s="332">
        <v>24</v>
      </c>
      <c r="I15" s="332"/>
      <c r="J15" s="332"/>
      <c r="K15" s="332"/>
      <c r="L15" s="333">
        <v>1</v>
      </c>
      <c r="M15" s="334">
        <v>24</v>
      </c>
      <c r="N15" s="369">
        <v>2.6</v>
      </c>
      <c r="O15" s="335" t="str">
        <f t="shared" si="1"/>
        <v>40.64*38.1*13.97</v>
      </c>
      <c r="P15" s="336">
        <v>16</v>
      </c>
      <c r="Q15" s="337">
        <v>15</v>
      </c>
      <c r="R15" s="337">
        <v>5.5</v>
      </c>
      <c r="S15" s="338">
        <f t="shared" si="2"/>
        <v>40.64</v>
      </c>
      <c r="T15" s="338">
        <f t="shared" si="0"/>
        <v>38.1</v>
      </c>
      <c r="U15" s="338">
        <f t="shared" si="0"/>
        <v>13.97</v>
      </c>
      <c r="V15" s="338" t="str">
        <f t="shared" si="3"/>
        <v>40.64*38.1*13.97</v>
      </c>
    </row>
    <row r="16" spans="1:231" s="338" customFormat="1" ht="30.75" customHeight="1">
      <c r="A16" s="331" t="s">
        <v>221</v>
      </c>
      <c r="B16" s="331" t="s">
        <v>231</v>
      </c>
      <c r="C16" s="331" t="s">
        <v>232</v>
      </c>
      <c r="D16" s="331">
        <v>6</v>
      </c>
      <c r="E16" s="331">
        <v>6</v>
      </c>
      <c r="F16" s="332">
        <v>24</v>
      </c>
      <c r="G16" s="332"/>
      <c r="H16" s="332"/>
      <c r="I16" s="332">
        <v>24</v>
      </c>
      <c r="J16" s="332"/>
      <c r="K16" s="332"/>
      <c r="L16" s="333">
        <v>1</v>
      </c>
      <c r="M16" s="334">
        <v>24</v>
      </c>
      <c r="N16" s="369">
        <v>2.76</v>
      </c>
      <c r="O16" s="335" t="str">
        <f t="shared" si="1"/>
        <v>40.64*38.1*13.97</v>
      </c>
      <c r="P16" s="336">
        <v>16</v>
      </c>
      <c r="Q16" s="337">
        <v>15</v>
      </c>
      <c r="R16" s="337">
        <v>5.5</v>
      </c>
      <c r="S16" s="338">
        <f t="shared" si="2"/>
        <v>40.64</v>
      </c>
      <c r="T16" s="338">
        <f t="shared" si="0"/>
        <v>38.1</v>
      </c>
      <c r="U16" s="338">
        <f t="shared" si="0"/>
        <v>13.97</v>
      </c>
      <c r="V16" s="338" t="str">
        <f t="shared" si="3"/>
        <v>40.64*38.1*13.97</v>
      </c>
    </row>
    <row r="17" spans="1:22" s="373" customFormat="1" ht="30.75" customHeight="1">
      <c r="A17" s="352"/>
      <c r="B17" s="352"/>
      <c r="C17" s="352"/>
      <c r="D17" s="352"/>
      <c r="E17" s="352"/>
      <c r="F17" s="370"/>
      <c r="G17" s="370"/>
      <c r="H17" s="370"/>
      <c r="I17" s="370"/>
      <c r="J17" s="370"/>
      <c r="K17" s="370"/>
      <c r="L17" s="339">
        <v>3</v>
      </c>
      <c r="M17" s="377">
        <v>72</v>
      </c>
      <c r="N17" s="378">
        <v>7.82</v>
      </c>
      <c r="O17" s="335"/>
      <c r="P17" s="371"/>
      <c r="Q17" s="372"/>
      <c r="R17" s="372"/>
      <c r="S17" s="373">
        <f t="shared" si="2"/>
        <v>0</v>
      </c>
      <c r="T17" s="373">
        <f t="shared" si="0"/>
        <v>0</v>
      </c>
      <c r="U17" s="373">
        <f t="shared" si="0"/>
        <v>0</v>
      </c>
      <c r="V17" s="373" t="str">
        <f t="shared" si="3"/>
        <v>0*0*0</v>
      </c>
    </row>
    <row r="18" spans="1:22" s="338" customFormat="1" ht="30.75" customHeight="1">
      <c r="A18" s="331"/>
      <c r="B18" s="331"/>
      <c r="C18" s="331"/>
      <c r="D18" s="331"/>
      <c r="E18" s="331"/>
      <c r="F18" s="332"/>
      <c r="G18" s="332"/>
      <c r="H18" s="332"/>
      <c r="I18" s="332"/>
      <c r="J18" s="332"/>
      <c r="K18" s="332"/>
      <c r="L18" s="339"/>
      <c r="M18" s="339"/>
      <c r="N18" s="335"/>
      <c r="O18" s="335"/>
    </row>
    <row r="19" spans="1:22" s="317" customFormat="1" ht="30.75" customHeight="1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1">
        <f>+L17+L13</f>
        <v>6</v>
      </c>
      <c r="M19" s="341">
        <f t="shared" ref="M19:N19" si="4">+M17+M13</f>
        <v>144</v>
      </c>
      <c r="N19" s="374">
        <f t="shared" si="4"/>
        <v>16</v>
      </c>
      <c r="O19" s="342"/>
    </row>
    <row r="20" spans="1:22" s="317" customFormat="1" ht="30.75" customHeight="1">
      <c r="A20" s="318"/>
      <c r="B20" s="343"/>
      <c r="H20" s="320"/>
      <c r="I20" s="320"/>
      <c r="J20" s="320"/>
      <c r="K20" s="320"/>
      <c r="L20" s="321"/>
      <c r="M20" s="320"/>
    </row>
  </sheetData>
  <autoFilter ref="A9:M19" xr:uid="{00000000-0009-0000-0000-000002000000}">
    <filterColumn colId="3" showButton="0"/>
  </autoFilter>
  <mergeCells count="32">
    <mergeCell ref="FB5:GA5"/>
    <mergeCell ref="GB5:HA5"/>
    <mergeCell ref="HB5:HW5"/>
    <mergeCell ref="D9:E9"/>
    <mergeCell ref="A5:M5"/>
    <mergeCell ref="AB5:BA5"/>
    <mergeCell ref="BB5:CA5"/>
    <mergeCell ref="CB5:DA5"/>
    <mergeCell ref="DB5:EA5"/>
    <mergeCell ref="EB5:FA5"/>
    <mergeCell ref="DV3:EN3"/>
    <mergeCell ref="EO3:FG3"/>
    <mergeCell ref="FH3:FZ3"/>
    <mergeCell ref="GA3:GS3"/>
    <mergeCell ref="GT3:HL3"/>
    <mergeCell ref="HM3:HU3"/>
    <mergeCell ref="EO2:FG2"/>
    <mergeCell ref="FH2:FZ2"/>
    <mergeCell ref="GA2:GS2"/>
    <mergeCell ref="GT2:HL2"/>
    <mergeCell ref="HM2:HU2"/>
    <mergeCell ref="AE3:AW3"/>
    <mergeCell ref="AX3:BP3"/>
    <mergeCell ref="BQ3:CI3"/>
    <mergeCell ref="CJ3:DB3"/>
    <mergeCell ref="DC3:DU3"/>
    <mergeCell ref="AE2:AW2"/>
    <mergeCell ref="AX2:BP2"/>
    <mergeCell ref="BQ2:CI2"/>
    <mergeCell ref="CJ2:DB2"/>
    <mergeCell ref="DC2:DU2"/>
    <mergeCell ref="DV2:EN2"/>
  </mergeCells>
  <pageMargins left="0.43307086614173229" right="0.19685039370078741" top="0.31496062992125984" bottom="0.43307086614173229" header="0.11811023622047245" footer="0.31496062992125984"/>
  <pageSetup paperSize="9" scale="56" fitToHeight="0" orientation="landscape" verticalDpi="1200" r:id="rId1"/>
  <rowBreaks count="1" manualBreakCount="1">
    <brk id="24" max="2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A040-F84C-4FCA-9EDC-49DE78668DC5}">
  <sheetPr>
    <tabColor theme="0" tint="-0.14999847407452621"/>
    <pageSetUpPr fitToPage="1"/>
  </sheetPr>
  <dimension ref="A1:N312"/>
  <sheetViews>
    <sheetView view="pageBreakPreview" topLeftCell="A10" zoomScale="52" zoomScaleNormal="70" zoomScaleSheetLayoutView="52" workbookViewId="0">
      <selection activeCell="J7" sqref="J7"/>
    </sheetView>
  </sheetViews>
  <sheetFormatPr defaultColWidth="9" defaultRowHeight="15"/>
  <cols>
    <col min="1" max="1" width="27" style="313" customWidth="1"/>
    <col min="2" max="2" width="28.875" style="313" customWidth="1"/>
    <col min="3" max="3" width="26.625" style="313" customWidth="1"/>
    <col min="4" max="8" width="10.625" style="313" customWidth="1"/>
    <col min="9" max="10" width="15.5" style="313" customWidth="1"/>
    <col min="11" max="16384" width="9" style="313"/>
  </cols>
  <sheetData>
    <row r="1" spans="1:12" s="338" customFormat="1" ht="33" customHeight="1">
      <c r="A1" s="316" t="s">
        <v>241</v>
      </c>
      <c r="B1" s="316"/>
      <c r="C1" s="316"/>
      <c r="D1" s="316"/>
      <c r="E1" s="316"/>
      <c r="F1" s="316"/>
      <c r="G1" s="316"/>
      <c r="H1" s="316"/>
      <c r="I1" s="316"/>
      <c r="J1" s="316"/>
    </row>
    <row r="2" spans="1:12" s="338" customFormat="1" ht="33" customHeight="1">
      <c r="A2" s="316" t="s">
        <v>242</v>
      </c>
      <c r="B2" s="316"/>
      <c r="C2" s="316"/>
      <c r="D2" s="316"/>
      <c r="E2" s="316"/>
      <c r="F2" s="316"/>
      <c r="G2" s="316"/>
      <c r="H2" s="316"/>
      <c r="I2" s="316"/>
      <c r="J2" s="316"/>
    </row>
    <row r="3" spans="1:12" s="338" customFormat="1" ht="33" customHeight="1">
      <c r="A3" s="346"/>
      <c r="B3" s="346"/>
      <c r="C3" s="346"/>
      <c r="D3" s="317"/>
      <c r="E3" s="317"/>
      <c r="F3" s="317"/>
      <c r="G3" s="317"/>
      <c r="H3" s="317"/>
      <c r="I3" s="317"/>
      <c r="J3" s="347"/>
    </row>
    <row r="4" spans="1:12" s="338" customFormat="1" ht="33" customHeight="1">
      <c r="A4" s="318" t="s">
        <v>234</v>
      </c>
      <c r="B4" s="319" t="str">
        <f>+'FK245'!B6</f>
        <v>FK245</v>
      </c>
      <c r="C4" s="348"/>
      <c r="D4" s="317"/>
      <c r="E4" s="317"/>
      <c r="F4" s="317"/>
      <c r="G4" s="317"/>
      <c r="H4" s="317"/>
      <c r="I4" s="317"/>
      <c r="J4" s="348"/>
    </row>
    <row r="5" spans="1:12" s="338" customFormat="1" ht="33" customHeight="1">
      <c r="A5" s="318" t="s">
        <v>235</v>
      </c>
      <c r="B5" s="343">
        <f>+I10</f>
        <v>6</v>
      </c>
      <c r="C5" s="348"/>
      <c r="D5" s="348"/>
      <c r="E5" s="348"/>
      <c r="F5" s="348"/>
      <c r="G5" s="348"/>
      <c r="H5" s="347"/>
      <c r="I5" s="348"/>
      <c r="J5" s="348"/>
    </row>
    <row r="6" spans="1:12" s="338" customFormat="1" ht="33" customHeight="1">
      <c r="A6" s="349" t="s">
        <v>236</v>
      </c>
      <c r="B6" s="349" t="s">
        <v>237</v>
      </c>
      <c r="C6" s="349" t="s">
        <v>238</v>
      </c>
      <c r="D6" s="349" t="s">
        <v>59</v>
      </c>
      <c r="E6" s="349" t="s">
        <v>27</v>
      </c>
      <c r="F6" s="349" t="s">
        <v>28</v>
      </c>
      <c r="G6" s="349" t="s">
        <v>29</v>
      </c>
      <c r="H6" s="349" t="s">
        <v>30</v>
      </c>
      <c r="I6" s="329" t="s">
        <v>31</v>
      </c>
      <c r="J6" s="329" t="s">
        <v>32</v>
      </c>
    </row>
    <row r="7" spans="1:12" s="338" customFormat="1" ht="33" customHeight="1">
      <c r="A7" s="350" t="s">
        <v>219</v>
      </c>
      <c r="B7" s="350" t="s">
        <v>220</v>
      </c>
      <c r="C7" s="350" t="s">
        <v>232</v>
      </c>
      <c r="D7" s="306">
        <v>24</v>
      </c>
      <c r="E7" s="306">
        <v>24</v>
      </c>
      <c r="F7" s="306">
        <v>24</v>
      </c>
      <c r="G7" s="306"/>
      <c r="H7" s="350"/>
      <c r="I7" s="350">
        <v>3</v>
      </c>
      <c r="J7" s="350">
        <v>72</v>
      </c>
      <c r="K7" s="338">
        <f>+SUM(D7:H7)</f>
        <v>72</v>
      </c>
      <c r="L7" s="338">
        <f>+K7-J7</f>
        <v>0</v>
      </c>
    </row>
    <row r="8" spans="1:12" s="338" customFormat="1" ht="33" customHeight="1">
      <c r="A8" s="350" t="s">
        <v>221</v>
      </c>
      <c r="B8" s="350" t="s">
        <v>220</v>
      </c>
      <c r="C8" s="350" t="s">
        <v>232</v>
      </c>
      <c r="D8" s="306">
        <v>24</v>
      </c>
      <c r="E8" s="306">
        <v>24</v>
      </c>
      <c r="F8" s="306">
        <v>24</v>
      </c>
      <c r="G8" s="306"/>
      <c r="H8" s="350"/>
      <c r="I8" s="350">
        <v>3</v>
      </c>
      <c r="J8" s="350">
        <v>72</v>
      </c>
      <c r="K8" s="338">
        <f>+SUM(D8:H8)</f>
        <v>72</v>
      </c>
      <c r="L8" s="338">
        <f>+K8-J8</f>
        <v>0</v>
      </c>
    </row>
    <row r="9" spans="1:12" s="338" customFormat="1" ht="33" customHeight="1">
      <c r="A9" s="350"/>
      <c r="B9" s="350"/>
      <c r="C9" s="350"/>
      <c r="D9" s="350"/>
      <c r="E9" s="350"/>
      <c r="F9" s="350"/>
      <c r="G9" s="350"/>
      <c r="H9" s="350"/>
      <c r="I9" s="350"/>
      <c r="J9" s="350"/>
    </row>
    <row r="10" spans="1:12" s="338" customFormat="1" ht="34.5" customHeight="1">
      <c r="A10" s="351" t="s">
        <v>33</v>
      </c>
      <c r="B10" s="351"/>
      <c r="C10" s="351"/>
      <c r="D10" s="352"/>
      <c r="E10" s="352"/>
      <c r="F10" s="353"/>
      <c r="G10" s="353"/>
      <c r="H10" s="353"/>
      <c r="I10" s="353">
        <f>SUM(I7:I9)</f>
        <v>6</v>
      </c>
      <c r="J10" s="353">
        <f>SUM(J7:J9)</f>
        <v>144</v>
      </c>
    </row>
    <row r="11" spans="1:12" ht="34.5" customHeight="1">
      <c r="A11" s="354" t="s">
        <v>243</v>
      </c>
      <c r="B11" s="354"/>
      <c r="C11" s="317"/>
      <c r="D11" s="317"/>
      <c r="E11" s="317"/>
    </row>
    <row r="12" spans="1:12" ht="34.5" customHeight="1">
      <c r="A12" s="355" t="s">
        <v>244</v>
      </c>
      <c r="B12" s="356" t="str">
        <f>+B4</f>
        <v>FK245</v>
      </c>
      <c r="C12" s="356" t="s">
        <v>245</v>
      </c>
      <c r="D12" s="357" t="s">
        <v>25</v>
      </c>
      <c r="E12" s="357"/>
    </row>
    <row r="13" spans="1:12" ht="34.5" customHeight="1">
      <c r="A13" s="355" t="s">
        <v>246</v>
      </c>
      <c r="B13" s="356">
        <f>+C13</f>
        <v>6</v>
      </c>
      <c r="C13" s="358">
        <f>+I10</f>
        <v>6</v>
      </c>
      <c r="D13" s="317"/>
      <c r="E13" s="317"/>
    </row>
    <row r="14" spans="1:12" ht="34.5" customHeight="1">
      <c r="A14" s="355" t="s">
        <v>247</v>
      </c>
      <c r="B14" s="359">
        <f>+C14/$B$13</f>
        <v>2.6666666666666665</v>
      </c>
      <c r="C14" s="359">
        <v>16</v>
      </c>
      <c r="D14" s="360"/>
      <c r="E14" s="360"/>
    </row>
    <row r="15" spans="1:12" ht="34.5" customHeight="1">
      <c r="A15" s="355" t="s">
        <v>248</v>
      </c>
      <c r="B15" s="359">
        <f t="shared" ref="B15:B18" si="0">+C15/$B$13</f>
        <v>2.1166666666666667</v>
      </c>
      <c r="C15" s="359">
        <v>12.7</v>
      </c>
      <c r="D15" s="360"/>
      <c r="E15" s="360"/>
    </row>
    <row r="16" spans="1:12" ht="34.5" customHeight="1">
      <c r="A16" s="355" t="s">
        <v>249</v>
      </c>
      <c r="B16" s="359"/>
      <c r="C16" s="359"/>
      <c r="D16" s="317"/>
      <c r="E16" s="317"/>
    </row>
    <row r="17" spans="1:14" ht="34.5" customHeight="1">
      <c r="A17" s="355" t="s">
        <v>250</v>
      </c>
      <c r="B17" s="359"/>
      <c r="C17" s="359"/>
      <c r="D17" s="317"/>
      <c r="E17" s="317"/>
    </row>
    <row r="18" spans="1:14" ht="34.5" customHeight="1">
      <c r="A18" s="355" t="s">
        <v>251</v>
      </c>
      <c r="B18" s="359">
        <f t="shared" si="0"/>
        <v>1.8360000000000001E-2</v>
      </c>
      <c r="C18" s="359">
        <v>0.11016000000000001</v>
      </c>
      <c r="D18" s="317"/>
      <c r="E18" s="317"/>
    </row>
    <row r="19" spans="1:14" ht="34.5" customHeight="1">
      <c r="A19" s="361" t="s">
        <v>252</v>
      </c>
      <c r="B19" s="362"/>
      <c r="C19" s="342"/>
      <c r="D19" s="317"/>
      <c r="E19" s="317"/>
    </row>
    <row r="20" spans="1:14" ht="34.5" customHeight="1">
      <c r="A20" s="363" t="s">
        <v>253</v>
      </c>
      <c r="B20" s="364"/>
      <c r="C20" s="317"/>
      <c r="D20" s="317"/>
      <c r="E20" s="317"/>
    </row>
    <row r="21" spans="1:14" ht="34.5" customHeight="1">
      <c r="A21" s="363"/>
      <c r="B21" s="364"/>
      <c r="D21" s="317"/>
      <c r="E21" s="317"/>
    </row>
    <row r="26" spans="1:14" ht="18.75">
      <c r="N26" s="376">
        <f>SUM(N10:N25)</f>
        <v>0</v>
      </c>
    </row>
    <row r="286" spans="2:4">
      <c r="B286" s="313">
        <v>-52</v>
      </c>
      <c r="C286" s="313">
        <v>-39</v>
      </c>
      <c r="D286" s="365"/>
    </row>
    <row r="287" spans="2:4">
      <c r="B287" s="313">
        <v>-52</v>
      </c>
      <c r="C287" s="313">
        <v>-39</v>
      </c>
    </row>
    <row r="288" spans="2:4">
      <c r="B288" s="313">
        <v>-52</v>
      </c>
      <c r="C288" s="313">
        <v>-39</v>
      </c>
    </row>
    <row r="289" spans="1:10">
      <c r="B289" s="313">
        <v>-52</v>
      </c>
      <c r="C289" s="313">
        <v>-39</v>
      </c>
    </row>
    <row r="290" spans="1:10">
      <c r="B290" s="313">
        <v>-52</v>
      </c>
      <c r="C290" s="313">
        <v>-39</v>
      </c>
    </row>
    <row r="291" spans="1:10">
      <c r="B291" s="313">
        <v>-52</v>
      </c>
      <c r="C291" s="313">
        <v>-39</v>
      </c>
    </row>
    <row r="292" spans="1:10">
      <c r="B292" s="313">
        <v>-52</v>
      </c>
      <c r="C292" s="313">
        <v>-39</v>
      </c>
    </row>
    <row r="293" spans="1:10" s="368" customFormat="1">
      <c r="A293" s="366" t="s">
        <v>254</v>
      </c>
      <c r="B293" s="367"/>
      <c r="C293" s="365">
        <v>-39</v>
      </c>
      <c r="D293" s="313"/>
      <c r="E293" s="365"/>
      <c r="F293" s="365"/>
      <c r="G293" s="365"/>
      <c r="H293" s="365"/>
      <c r="I293" s="365"/>
      <c r="J293" s="365"/>
    </row>
    <row r="294" spans="1:10">
      <c r="B294" s="313">
        <v>-52</v>
      </c>
      <c r="C294" s="313">
        <v>-39</v>
      </c>
    </row>
    <row r="296" spans="1:10">
      <c r="B296" s="313">
        <v>-52</v>
      </c>
      <c r="C296" s="313">
        <v>-39</v>
      </c>
      <c r="D296" s="365"/>
    </row>
    <row r="297" spans="1:10">
      <c r="B297" s="313">
        <v>-52</v>
      </c>
      <c r="C297" s="313">
        <v>-39</v>
      </c>
    </row>
    <row r="298" spans="1:10">
      <c r="B298" s="313">
        <v>-52</v>
      </c>
      <c r="C298" s="313">
        <v>-39</v>
      </c>
    </row>
    <row r="299" spans="1:10">
      <c r="B299" s="313">
        <v>-52</v>
      </c>
      <c r="C299" s="313">
        <v>-39</v>
      </c>
    </row>
    <row r="300" spans="1:10">
      <c r="B300" s="313">
        <v>-52</v>
      </c>
      <c r="C300" s="313">
        <v>-39</v>
      </c>
    </row>
    <row r="301" spans="1:10">
      <c r="B301" s="313">
        <v>-52</v>
      </c>
      <c r="C301" s="313">
        <v>-39</v>
      </c>
    </row>
    <row r="302" spans="1:10">
      <c r="B302" s="313">
        <v>-52</v>
      </c>
      <c r="C302" s="313">
        <v>-39</v>
      </c>
    </row>
    <row r="303" spans="1:10" s="368" customFormat="1">
      <c r="A303" s="366"/>
      <c r="B303" s="367"/>
      <c r="C303" s="365"/>
      <c r="D303" s="313"/>
      <c r="E303" s="365"/>
      <c r="F303" s="365"/>
      <c r="G303" s="365"/>
      <c r="H303" s="365"/>
      <c r="I303" s="365"/>
      <c r="J303" s="365"/>
    </row>
    <row r="304" spans="1:10">
      <c r="B304" s="313">
        <v>0</v>
      </c>
      <c r="C304" s="313">
        <v>0</v>
      </c>
      <c r="D304" s="365"/>
    </row>
    <row r="311" spans="1:10" s="368" customFormat="1">
      <c r="A311" s="366" t="s">
        <v>254</v>
      </c>
      <c r="B311" s="367"/>
      <c r="C311" s="365"/>
      <c r="D311" s="313"/>
      <c r="E311" s="365"/>
      <c r="F311" s="365"/>
      <c r="G311" s="365"/>
      <c r="H311" s="365"/>
      <c r="I311" s="365"/>
      <c r="J311" s="365"/>
    </row>
    <row r="312" spans="1:10">
      <c r="A312" s="366" t="s">
        <v>255</v>
      </c>
      <c r="B312" s="367"/>
    </row>
  </sheetData>
  <autoFilter ref="A6:J10" xr:uid="{00000000-0009-0000-0000-000003000000}"/>
  <mergeCells count="9">
    <mergeCell ref="A303:B303"/>
    <mergeCell ref="A311:B311"/>
    <mergeCell ref="A312:B312"/>
    <mergeCell ref="A1:J1"/>
    <mergeCell ref="A2:J2"/>
    <mergeCell ref="A10:C10"/>
    <mergeCell ref="D12:E12"/>
    <mergeCell ref="A20:A21"/>
    <mergeCell ref="A293:B293"/>
  </mergeCells>
  <pageMargins left="0.19685039370078741" right="0.19685039370078741" top="0.39370078740157483" bottom="0.19685039370078741" header="0.19685039370078741" footer="0.19685039370078741"/>
  <pageSetup scale="74" fitToHeight="0" orientation="landscape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D912-2615-446E-831B-46F41D3A154D}">
  <sheetPr>
    <pageSetUpPr fitToPage="1"/>
  </sheetPr>
  <dimension ref="A1:CG149"/>
  <sheetViews>
    <sheetView view="pageBreakPreview" topLeftCell="A12" zoomScale="85" zoomScaleNormal="70" zoomScaleSheetLayoutView="85" workbookViewId="0">
      <selection activeCell="R43" sqref="R43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0.2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23" width="11.25" style="214"/>
    <col min="24" max="27" width="11.25" style="214" customWidth="1"/>
    <col min="28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213</v>
      </c>
      <c r="G13" s="214" t="s">
        <v>176</v>
      </c>
    </row>
    <row r="14" spans="1:85">
      <c r="A14" s="291" t="s">
        <v>177</v>
      </c>
      <c r="B14" s="291"/>
      <c r="D14" s="214" t="str">
        <f>+B13</f>
        <v>GU113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 t="str">
        <f>Z19&amp;"*"&amp;AA19&amp;"*"&amp;AB19</f>
        <v>43.18*25.4*21.59</v>
      </c>
      <c r="W19" s="214">
        <v>17</v>
      </c>
      <c r="X19" s="214">
        <v>10</v>
      </c>
      <c r="Y19" s="214">
        <v>8.5</v>
      </c>
      <c r="Z19" s="214">
        <f>+W19*2.54</f>
        <v>43.18</v>
      </c>
      <c r="AA19" s="214">
        <f t="shared" ref="AA19" si="0">+X19*2.54</f>
        <v>25.4</v>
      </c>
      <c r="AB19" s="214">
        <f t="shared" ref="AB19" si="1">+Y19*2.54</f>
        <v>21.59</v>
      </c>
    </row>
    <row r="20" spans="1:28">
      <c r="A20" s="221">
        <v>1</v>
      </c>
      <c r="B20" s="221">
        <v>1</v>
      </c>
      <c r="C20" s="221" t="s">
        <v>190</v>
      </c>
      <c r="D20" s="221" t="s">
        <v>230</v>
      </c>
      <c r="E20" s="221" t="s">
        <v>231</v>
      </c>
      <c r="F20" s="221" t="s">
        <v>232</v>
      </c>
      <c r="G20" s="221">
        <v>10</v>
      </c>
      <c r="H20" s="221">
        <v>10</v>
      </c>
      <c r="I20" s="221"/>
      <c r="J20" s="221"/>
      <c r="K20" s="221"/>
      <c r="L20" s="221"/>
      <c r="M20" s="221"/>
      <c r="N20" s="221"/>
      <c r="O20" s="221"/>
      <c r="P20" s="221">
        <v>1</v>
      </c>
      <c r="Q20" s="221">
        <v>10</v>
      </c>
      <c r="R20" s="222">
        <f>+T20/P20</f>
        <v>0.84</v>
      </c>
      <c r="S20" s="222">
        <f>+U20/P20</f>
        <v>1.26</v>
      </c>
      <c r="T20" s="222">
        <v>0.84</v>
      </c>
      <c r="U20" s="222">
        <v>1.26</v>
      </c>
      <c r="V20" s="221" t="str">
        <f>Z20&amp;"*"&amp;AA20&amp;"*"&amp;AB20</f>
        <v>38.1*22.86*10.16</v>
      </c>
      <c r="W20" s="223">
        <v>15</v>
      </c>
      <c r="X20" s="223">
        <v>9</v>
      </c>
      <c r="Y20" s="223">
        <v>4</v>
      </c>
      <c r="Z20" s="214">
        <f>+W20*2.54</f>
        <v>38.1</v>
      </c>
      <c r="AA20" s="214">
        <f t="shared" ref="AA20:AB23" si="2">+X20*2.54</f>
        <v>22.86</v>
      </c>
      <c r="AB20" s="214">
        <f t="shared" si="2"/>
        <v>10.16</v>
      </c>
    </row>
    <row r="21" spans="1:28">
      <c r="A21" s="221">
        <v>2</v>
      </c>
      <c r="B21" s="221">
        <v>2</v>
      </c>
      <c r="C21" s="221" t="s">
        <v>190</v>
      </c>
      <c r="D21" s="221"/>
      <c r="E21" s="221"/>
      <c r="F21" s="221"/>
      <c r="G21" s="221">
        <v>6</v>
      </c>
      <c r="H21" s="221"/>
      <c r="I21" s="221"/>
      <c r="J21" s="221"/>
      <c r="K21" s="221">
        <v>6</v>
      </c>
      <c r="L21" s="221"/>
      <c r="M21" s="221"/>
      <c r="N21" s="221"/>
      <c r="O21" s="221"/>
      <c r="P21" s="221"/>
      <c r="Q21" s="221">
        <v>6</v>
      </c>
      <c r="R21" s="222"/>
      <c r="S21" s="222"/>
      <c r="T21" s="222"/>
      <c r="U21" s="222"/>
      <c r="V21" s="221" t="str">
        <f t="shared" ref="V21:V23" si="3">Z21&amp;"*"&amp;AA21&amp;"*"&amp;AB21</f>
        <v>22.86*22.86*8.89</v>
      </c>
      <c r="W21" s="223">
        <v>9</v>
      </c>
      <c r="X21" s="223">
        <v>9</v>
      </c>
      <c r="Y21" s="223">
        <v>3.5</v>
      </c>
      <c r="Z21" s="214">
        <f t="shared" ref="Z21:Z23" si="4">+W21*2.54</f>
        <v>22.86</v>
      </c>
      <c r="AA21" s="214">
        <f t="shared" si="2"/>
        <v>22.86</v>
      </c>
      <c r="AB21" s="214">
        <f t="shared" si="2"/>
        <v>8.89</v>
      </c>
    </row>
    <row r="22" spans="1:28">
      <c r="A22" s="230">
        <v>3</v>
      </c>
      <c r="B22" s="230">
        <v>3</v>
      </c>
      <c r="C22" s="230"/>
      <c r="D22" s="230"/>
      <c r="E22" s="230"/>
      <c r="F22" s="230"/>
      <c r="G22" s="230">
        <v>17</v>
      </c>
      <c r="H22" s="230"/>
      <c r="I22" s="230">
        <v>17</v>
      </c>
      <c r="J22" s="230"/>
      <c r="K22" s="230"/>
      <c r="L22" s="230"/>
      <c r="M22" s="230"/>
      <c r="N22" s="230"/>
      <c r="O22" s="230"/>
      <c r="P22" s="230">
        <v>1</v>
      </c>
      <c r="Q22" s="230">
        <v>17</v>
      </c>
      <c r="R22" s="222">
        <f t="shared" ref="R22:R23" si="5">+T22/P22</f>
        <v>1.92</v>
      </c>
      <c r="S22" s="222">
        <f t="shared" ref="S22:S23" si="6">+U22/P22</f>
        <v>2.44</v>
      </c>
      <c r="T22" s="231">
        <v>1.92</v>
      </c>
      <c r="U22" s="231">
        <v>2.44</v>
      </c>
      <c r="V22" s="221" t="str">
        <f t="shared" si="3"/>
        <v>38.1*38.1*7.62</v>
      </c>
      <c r="W22" s="223">
        <v>15</v>
      </c>
      <c r="X22" s="223">
        <v>15</v>
      </c>
      <c r="Y22" s="223">
        <v>3</v>
      </c>
      <c r="Z22" s="214">
        <f t="shared" si="4"/>
        <v>38.1</v>
      </c>
      <c r="AA22" s="214">
        <f t="shared" si="2"/>
        <v>38.1</v>
      </c>
      <c r="AB22" s="214">
        <f t="shared" si="2"/>
        <v>7.62</v>
      </c>
    </row>
    <row r="23" spans="1:28">
      <c r="A23" s="230">
        <v>4</v>
      </c>
      <c r="B23" s="230">
        <v>4</v>
      </c>
      <c r="C23" s="230"/>
      <c r="D23" s="230"/>
      <c r="E23" s="230"/>
      <c r="F23" s="230"/>
      <c r="G23" s="230">
        <v>15</v>
      </c>
      <c r="H23" s="230"/>
      <c r="I23" s="230"/>
      <c r="J23" s="230">
        <v>15</v>
      </c>
      <c r="K23" s="230"/>
      <c r="L23" s="230"/>
      <c r="M23" s="230"/>
      <c r="N23" s="230"/>
      <c r="O23" s="230"/>
      <c r="P23" s="230">
        <v>1</v>
      </c>
      <c r="Q23" s="230">
        <v>15</v>
      </c>
      <c r="R23" s="222">
        <f t="shared" si="5"/>
        <v>1.88</v>
      </c>
      <c r="S23" s="222">
        <f t="shared" si="6"/>
        <v>2.4</v>
      </c>
      <c r="T23" s="231">
        <v>1.88</v>
      </c>
      <c r="U23" s="231">
        <v>2.4</v>
      </c>
      <c r="V23" s="221" t="str">
        <f t="shared" si="3"/>
        <v>38.1*38.1*7.62</v>
      </c>
      <c r="W23" s="223">
        <v>15</v>
      </c>
      <c r="X23" s="223">
        <v>15</v>
      </c>
      <c r="Y23" s="223">
        <v>3</v>
      </c>
      <c r="Z23" s="214">
        <f t="shared" si="4"/>
        <v>38.1</v>
      </c>
      <c r="AA23" s="214">
        <f t="shared" si="2"/>
        <v>38.1</v>
      </c>
      <c r="AB23" s="214">
        <f t="shared" si="2"/>
        <v>7.62</v>
      </c>
    </row>
    <row r="24" spans="1:28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/>
      <c r="X24" s="223"/>
      <c r="Y24" s="223"/>
    </row>
    <row r="25" spans="1:28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22"/>
      <c r="S25" s="222"/>
      <c r="T25" s="231"/>
      <c r="U25" s="231"/>
      <c r="V25" s="230"/>
    </row>
    <row r="26" spans="1:28" s="216" customFormat="1" ht="14.25">
      <c r="A26" s="232"/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>
        <f>SUM(N20:N25)</f>
        <v>0</v>
      </c>
      <c r="O26" s="232">
        <f>SUM(O20:O25)</f>
        <v>0</v>
      </c>
      <c r="P26" s="232">
        <f>SUM(P20:P25)</f>
        <v>3</v>
      </c>
      <c r="Q26" s="232">
        <f>SUM(Q20:Q25)</f>
        <v>48</v>
      </c>
      <c r="R26" s="232"/>
      <c r="S26" s="305"/>
      <c r="T26" s="232">
        <f>SUM(T20:T25)</f>
        <v>4.6399999999999997</v>
      </c>
      <c r="U26" s="305">
        <f>SUM(U20:U25)</f>
        <v>6.1</v>
      </c>
      <c r="V26" s="232"/>
    </row>
    <row r="27" spans="1:28" s="216" customFormat="1" ht="14.25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</row>
    <row r="28" spans="1:28">
      <c r="A28" s="223"/>
      <c r="B28" s="223"/>
      <c r="C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4"/>
      <c r="S28" s="224"/>
      <c r="T28" s="224"/>
      <c r="U28" s="224"/>
      <c r="V28" s="215"/>
    </row>
    <row r="29" spans="1:28">
      <c r="C29" s="234" t="s">
        <v>191</v>
      </c>
      <c r="D29" s="234" t="s">
        <v>181</v>
      </c>
      <c r="E29" s="234" t="s">
        <v>192</v>
      </c>
      <c r="F29" s="234" t="s">
        <v>193</v>
      </c>
      <c r="G29" s="234" t="s">
        <v>59</v>
      </c>
      <c r="H29" s="234" t="s">
        <v>27</v>
      </c>
      <c r="I29" s="234" t="s">
        <v>28</v>
      </c>
      <c r="J29" s="234" t="s">
        <v>29</v>
      </c>
      <c r="K29" s="234" t="s">
        <v>30</v>
      </c>
      <c r="L29" s="234" t="s">
        <v>145</v>
      </c>
      <c r="M29" s="234"/>
      <c r="N29" s="234"/>
      <c r="O29" s="234"/>
      <c r="P29" s="219" t="s">
        <v>31</v>
      </c>
      <c r="Q29" s="219" t="s">
        <v>32</v>
      </c>
    </row>
    <row r="30" spans="1:28">
      <c r="C30" s="235" t="s">
        <v>213</v>
      </c>
      <c r="D30" s="235" t="s">
        <v>230</v>
      </c>
      <c r="E30" s="235" t="s">
        <v>220</v>
      </c>
      <c r="F30" s="235" t="s">
        <v>232</v>
      </c>
      <c r="G30" s="221">
        <v>10</v>
      </c>
      <c r="H30" s="221">
        <v>6</v>
      </c>
      <c r="I30" s="221">
        <v>17</v>
      </c>
      <c r="J30" s="221">
        <v>15</v>
      </c>
      <c r="K30" s="221"/>
      <c r="L30" s="375"/>
      <c r="M30" s="234"/>
      <c r="N30" s="234"/>
      <c r="O30" s="234"/>
      <c r="P30" s="235">
        <v>3</v>
      </c>
      <c r="Q30" s="235">
        <v>48</v>
      </c>
      <c r="W30" s="214">
        <f>+SUM(G30:K30)</f>
        <v>48</v>
      </c>
      <c r="X30" s="214">
        <f>+Q30-W30</f>
        <v>0</v>
      </c>
    </row>
    <row r="31" spans="1:28">
      <c r="C31" s="235"/>
      <c r="D31" s="235"/>
      <c r="E31" s="235"/>
      <c r="F31" s="235"/>
      <c r="G31" s="230"/>
      <c r="H31" s="230"/>
      <c r="I31" s="230"/>
      <c r="J31" s="230"/>
      <c r="K31" s="230"/>
      <c r="L31" s="234"/>
      <c r="M31" s="234"/>
      <c r="N31" s="234"/>
      <c r="O31" s="234"/>
      <c r="P31" s="235"/>
      <c r="Q31" s="235"/>
    </row>
    <row r="32" spans="1:28"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</row>
    <row r="33" spans="3:17">
      <c r="C33" s="215"/>
      <c r="D33" s="215"/>
      <c r="E33" s="215"/>
      <c r="F33" s="215"/>
      <c r="G33" s="215"/>
      <c r="H33" s="215"/>
      <c r="I33" s="215"/>
      <c r="J33" s="218" t="s">
        <v>33</v>
      </c>
      <c r="K33" s="215"/>
      <c r="L33" s="218"/>
      <c r="M33" s="218"/>
      <c r="N33" s="218"/>
      <c r="O33" s="218"/>
      <c r="P33" s="218">
        <f>SUM(P30:P31)</f>
        <v>3</v>
      </c>
      <c r="Q33" s="218">
        <f>SUM(Q30:Q31)</f>
        <v>48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T28" xr:uid="{00000000-0009-0000-0000-000004000000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48402777800000002" bottom="0.48402777800000002" header="0.51180555555555496" footer="0.51180555555555496"/>
  <pageSetup scale="54" fitToHeight="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07C9-174F-4997-A3F0-31703D459239}">
  <sheetPr>
    <pageSetUpPr fitToPage="1"/>
  </sheetPr>
  <dimension ref="A1:CG33"/>
  <sheetViews>
    <sheetView view="pageBreakPreview" topLeftCell="A13" zoomScale="70" zoomScaleNormal="70" zoomScaleSheetLayoutView="70" workbookViewId="0">
      <selection activeCell="R43" sqref="R43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0.2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213</v>
      </c>
      <c r="G13" s="214" t="s">
        <v>176</v>
      </c>
    </row>
    <row r="14" spans="1:85">
      <c r="A14" s="291" t="s">
        <v>177</v>
      </c>
      <c r="B14" s="291"/>
      <c r="D14" s="214" t="str">
        <f>+B13</f>
        <v>GU113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 t="str">
        <f>Z19&amp;"*"&amp;AA19&amp;"*"&amp;AB19</f>
        <v>43.18*25.4*21.59</v>
      </c>
      <c r="W19" s="214">
        <v>17</v>
      </c>
      <c r="X19" s="214">
        <v>10</v>
      </c>
      <c r="Y19" s="214">
        <v>8.5</v>
      </c>
      <c r="Z19" s="214">
        <f>+W19*2.54</f>
        <v>43.18</v>
      </c>
      <c r="AA19" s="214">
        <f t="shared" ref="AA19:AB23" si="0">+X19*2.54</f>
        <v>25.4</v>
      </c>
      <c r="AB19" s="214">
        <f t="shared" si="0"/>
        <v>21.59</v>
      </c>
    </row>
    <row r="20" spans="1:28">
      <c r="A20" s="221">
        <v>1</v>
      </c>
      <c r="B20" s="221">
        <v>1</v>
      </c>
      <c r="C20" s="221" t="s">
        <v>190</v>
      </c>
      <c r="D20" s="221" t="s">
        <v>230</v>
      </c>
      <c r="E20" s="221" t="s">
        <v>231</v>
      </c>
      <c r="F20" s="221" t="s">
        <v>232</v>
      </c>
      <c r="G20" s="221">
        <v>10</v>
      </c>
      <c r="H20" s="221">
        <v>10</v>
      </c>
      <c r="I20" s="221"/>
      <c r="J20" s="221"/>
      <c r="K20" s="221"/>
      <c r="L20" s="221"/>
      <c r="M20" s="221"/>
      <c r="N20" s="221"/>
      <c r="O20" s="221"/>
      <c r="P20" s="221">
        <v>1</v>
      </c>
      <c r="Q20" s="221">
        <v>10</v>
      </c>
      <c r="R20" s="222">
        <f>+T20/P20</f>
        <v>0.84</v>
      </c>
      <c r="S20" s="222">
        <f>+U20/P20</f>
        <v>1.26</v>
      </c>
      <c r="T20" s="222">
        <v>0.84</v>
      </c>
      <c r="U20" s="222">
        <v>1.26</v>
      </c>
      <c r="V20" s="221" t="str">
        <f>Z20&amp;"*"&amp;AA20&amp;"*"&amp;AB20</f>
        <v>38.1*22.86*10.16</v>
      </c>
      <c r="W20" s="223">
        <v>15</v>
      </c>
      <c r="X20" s="223">
        <v>9</v>
      </c>
      <c r="Y20" s="223">
        <v>4</v>
      </c>
      <c r="Z20" s="214">
        <f>+W20*2.54</f>
        <v>38.1</v>
      </c>
      <c r="AA20" s="214">
        <f t="shared" si="0"/>
        <v>22.86</v>
      </c>
      <c r="AB20" s="214">
        <f t="shared" si="0"/>
        <v>10.16</v>
      </c>
    </row>
    <row r="21" spans="1:28">
      <c r="A21" s="221">
        <v>2</v>
      </c>
      <c r="B21" s="221">
        <v>2</v>
      </c>
      <c r="C21" s="221" t="s">
        <v>190</v>
      </c>
      <c r="D21" s="221"/>
      <c r="E21" s="221"/>
      <c r="F21" s="221"/>
      <c r="G21" s="221">
        <v>6</v>
      </c>
      <c r="H21" s="221"/>
      <c r="I21" s="221"/>
      <c r="J21" s="221"/>
      <c r="K21" s="221">
        <v>6</v>
      </c>
      <c r="L21" s="221"/>
      <c r="M21" s="221"/>
      <c r="N21" s="221"/>
      <c r="O21" s="221"/>
      <c r="P21" s="221">
        <v>1</v>
      </c>
      <c r="Q21" s="221">
        <v>6</v>
      </c>
      <c r="R21" s="222"/>
      <c r="S21" s="222"/>
      <c r="T21" s="222"/>
      <c r="U21" s="222"/>
      <c r="V21" s="221" t="str">
        <f t="shared" ref="V21:V23" si="1">Z21&amp;"*"&amp;AA21&amp;"*"&amp;AB21</f>
        <v>22.86*22.86*8.89</v>
      </c>
      <c r="W21" s="223">
        <v>9</v>
      </c>
      <c r="X21" s="223">
        <v>9</v>
      </c>
      <c r="Y21" s="223">
        <v>3.5</v>
      </c>
      <c r="Z21" s="214">
        <f t="shared" ref="Z21:Z23" si="2">+W21*2.54</f>
        <v>22.86</v>
      </c>
      <c r="AA21" s="214">
        <f t="shared" si="0"/>
        <v>22.86</v>
      </c>
      <c r="AB21" s="214">
        <f t="shared" si="0"/>
        <v>8.89</v>
      </c>
    </row>
    <row r="22" spans="1:28">
      <c r="A22" s="230">
        <v>3</v>
      </c>
      <c r="B22" s="230">
        <v>3</v>
      </c>
      <c r="C22" s="230"/>
      <c r="D22" s="230"/>
      <c r="E22" s="230"/>
      <c r="F22" s="230"/>
      <c r="G22" s="230">
        <v>17</v>
      </c>
      <c r="H22" s="230"/>
      <c r="I22" s="230">
        <v>17</v>
      </c>
      <c r="J22" s="230"/>
      <c r="K22" s="230"/>
      <c r="L22" s="230"/>
      <c r="M22" s="230"/>
      <c r="N22" s="230"/>
      <c r="O22" s="230"/>
      <c r="P22" s="230">
        <v>1</v>
      </c>
      <c r="Q22" s="230">
        <v>17</v>
      </c>
      <c r="R22" s="222">
        <f t="shared" ref="R22:R23" si="3">+T22/P22</f>
        <v>1.92</v>
      </c>
      <c r="S22" s="222">
        <f t="shared" ref="S22:S23" si="4">+U22/P22</f>
        <v>2.44</v>
      </c>
      <c r="T22" s="231">
        <v>1.92</v>
      </c>
      <c r="U22" s="231">
        <v>2.44</v>
      </c>
      <c r="V22" s="221" t="str">
        <f t="shared" si="1"/>
        <v>38.1*38.1*7.62</v>
      </c>
      <c r="W22" s="223">
        <v>15</v>
      </c>
      <c r="X22" s="223">
        <v>15</v>
      </c>
      <c r="Y22" s="223">
        <v>3</v>
      </c>
      <c r="Z22" s="214">
        <f t="shared" si="2"/>
        <v>38.1</v>
      </c>
      <c r="AA22" s="214">
        <f t="shared" si="0"/>
        <v>38.1</v>
      </c>
      <c r="AB22" s="214">
        <f t="shared" si="0"/>
        <v>7.62</v>
      </c>
    </row>
    <row r="23" spans="1:28">
      <c r="A23" s="230">
        <v>4</v>
      </c>
      <c r="B23" s="230">
        <v>4</v>
      </c>
      <c r="C23" s="230"/>
      <c r="D23" s="230"/>
      <c r="E23" s="230"/>
      <c r="F23" s="230"/>
      <c r="G23" s="230">
        <v>15</v>
      </c>
      <c r="H23" s="230"/>
      <c r="I23" s="230"/>
      <c r="J23" s="230">
        <v>15</v>
      </c>
      <c r="K23" s="230"/>
      <c r="L23" s="230"/>
      <c r="M23" s="230"/>
      <c r="N23" s="230"/>
      <c r="O23" s="230"/>
      <c r="P23" s="230">
        <v>1</v>
      </c>
      <c r="Q23" s="230">
        <v>15</v>
      </c>
      <c r="R23" s="222">
        <f t="shared" si="3"/>
        <v>1.88</v>
      </c>
      <c r="S23" s="222">
        <f t="shared" si="4"/>
        <v>2.4</v>
      </c>
      <c r="T23" s="231">
        <v>1.88</v>
      </c>
      <c r="U23" s="231">
        <v>2.4</v>
      </c>
      <c r="V23" s="221" t="str">
        <f t="shared" si="1"/>
        <v>38.1*38.1*7.62</v>
      </c>
      <c r="W23" s="223">
        <v>15</v>
      </c>
      <c r="X23" s="223">
        <v>15</v>
      </c>
      <c r="Y23" s="223">
        <v>3</v>
      </c>
      <c r="Z23" s="214">
        <f t="shared" si="2"/>
        <v>38.1</v>
      </c>
      <c r="AA23" s="214">
        <f t="shared" si="0"/>
        <v>38.1</v>
      </c>
      <c r="AB23" s="214">
        <f t="shared" si="0"/>
        <v>7.62</v>
      </c>
    </row>
    <row r="24" spans="1:28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/>
      <c r="X24" s="223"/>
      <c r="Y24" s="223"/>
    </row>
    <row r="25" spans="1:28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22"/>
      <c r="S25" s="222"/>
      <c r="T25" s="231"/>
      <c r="U25" s="231"/>
      <c r="V25" s="230"/>
    </row>
    <row r="26" spans="1:28" s="216" customFormat="1" ht="14.25">
      <c r="A26" s="232"/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>
        <f>SUM(N20:N25)</f>
        <v>0</v>
      </c>
      <c r="O26" s="232">
        <f>SUM(O20:O25)</f>
        <v>0</v>
      </c>
      <c r="P26" s="232">
        <f>SUM(P20:P25)</f>
        <v>4</v>
      </c>
      <c r="Q26" s="232">
        <f>SUM(Q20:Q25)</f>
        <v>48</v>
      </c>
      <c r="R26" s="232"/>
      <c r="S26" s="305"/>
      <c r="T26" s="232">
        <f>SUM(T20:T25)</f>
        <v>4.6399999999999997</v>
      </c>
      <c r="U26" s="305">
        <f>SUM(U20:U25)</f>
        <v>6.1</v>
      </c>
      <c r="V26" s="232"/>
    </row>
    <row r="27" spans="1:28" s="216" customFormat="1" ht="14.25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</row>
    <row r="28" spans="1:28">
      <c r="A28" s="223"/>
      <c r="B28" s="223"/>
      <c r="C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4"/>
      <c r="S28" s="224"/>
      <c r="T28" s="224"/>
      <c r="U28" s="224"/>
      <c r="V28" s="215"/>
    </row>
    <row r="29" spans="1:28">
      <c r="C29" s="234" t="s">
        <v>191</v>
      </c>
      <c r="D29" s="234" t="s">
        <v>181</v>
      </c>
      <c r="E29" s="234" t="s">
        <v>192</v>
      </c>
      <c r="F29" s="234" t="s">
        <v>193</v>
      </c>
      <c r="G29" s="234" t="s">
        <v>59</v>
      </c>
      <c r="H29" s="234" t="s">
        <v>27</v>
      </c>
      <c r="I29" s="234" t="s">
        <v>28</v>
      </c>
      <c r="J29" s="234" t="s">
        <v>29</v>
      </c>
      <c r="K29" s="234" t="s">
        <v>30</v>
      </c>
      <c r="L29" s="234" t="s">
        <v>145</v>
      </c>
      <c r="M29" s="234"/>
      <c r="N29" s="234"/>
      <c r="O29" s="234"/>
      <c r="P29" s="219" t="s">
        <v>31</v>
      </c>
      <c r="Q29" s="219" t="s">
        <v>32</v>
      </c>
    </row>
    <row r="30" spans="1:28">
      <c r="C30" s="235" t="s">
        <v>213</v>
      </c>
      <c r="D30" s="235" t="s">
        <v>230</v>
      </c>
      <c r="E30" s="235" t="s">
        <v>220</v>
      </c>
      <c r="F30" s="235" t="s">
        <v>232</v>
      </c>
      <c r="G30" s="221">
        <v>10</v>
      </c>
      <c r="H30" s="221">
        <v>6</v>
      </c>
      <c r="I30" s="221">
        <v>17</v>
      </c>
      <c r="J30" s="221">
        <v>15</v>
      </c>
      <c r="K30" s="221"/>
      <c r="L30" s="375"/>
      <c r="M30" s="234"/>
      <c r="N30" s="234"/>
      <c r="O30" s="234"/>
      <c r="P30" s="235">
        <v>4</v>
      </c>
      <c r="Q30" s="235">
        <v>48</v>
      </c>
      <c r="W30" s="214">
        <f>+SUM(G30:K30)</f>
        <v>48</v>
      </c>
      <c r="X30" s="214">
        <f>+Q30-W30</f>
        <v>0</v>
      </c>
    </row>
    <row r="31" spans="1:28">
      <c r="C31" s="235"/>
      <c r="D31" s="235"/>
      <c r="E31" s="235"/>
      <c r="F31" s="235"/>
      <c r="G31" s="230"/>
      <c r="H31" s="230"/>
      <c r="I31" s="230"/>
      <c r="J31" s="230"/>
      <c r="K31" s="230"/>
      <c r="L31" s="234"/>
      <c r="M31" s="234"/>
      <c r="N31" s="234"/>
      <c r="O31" s="234"/>
      <c r="P31" s="235"/>
      <c r="Q31" s="235"/>
    </row>
    <row r="32" spans="1:28"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</row>
    <row r="33" spans="3:17">
      <c r="C33" s="215"/>
      <c r="D33" s="215"/>
      <c r="E33" s="215"/>
      <c r="F33" s="215"/>
      <c r="G33" s="215"/>
      <c r="H33" s="215"/>
      <c r="I33" s="215"/>
      <c r="J33" s="218" t="s">
        <v>33</v>
      </c>
      <c r="K33" s="215"/>
      <c r="L33" s="218"/>
      <c r="M33" s="218"/>
      <c r="N33" s="218"/>
      <c r="O33" s="218"/>
      <c r="P33" s="218">
        <f>SUM(P30:P31)</f>
        <v>4</v>
      </c>
      <c r="Q33" s="218">
        <f>SUM(Q30:Q31)</f>
        <v>48</v>
      </c>
    </row>
  </sheetData>
  <autoFilter ref="A18:ID18" xr:uid="{00000000-0009-0000-0000-000005000000}">
    <filterColumn colId="0" showButton="0"/>
    <filterColumn colId="1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98402777777777795" bottom="0.98402777777777795" header="0.51180555555555496" footer="0.51180555555555496"/>
  <pageSetup scale="54" fitToHeight="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3886-95B4-4BA0-AF4A-302A611604AB}">
  <sheetPr>
    <pageSetUpPr fitToPage="1"/>
  </sheetPr>
  <dimension ref="A1:CG149"/>
  <sheetViews>
    <sheetView view="pageBreakPreview" topLeftCell="C12" zoomScale="85" zoomScaleNormal="70" zoomScaleSheetLayoutView="85" workbookViewId="0">
      <selection activeCell="J26" sqref="J26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2.7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214</v>
      </c>
      <c r="G13" s="214" t="s">
        <v>176</v>
      </c>
    </row>
    <row r="14" spans="1:85">
      <c r="A14" s="291" t="s">
        <v>177</v>
      </c>
      <c r="B14" s="291"/>
      <c r="D14" s="214" t="str">
        <f>+B13</f>
        <v>GU117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/>
      <c r="B19" s="232"/>
      <c r="C19" s="232" t="s">
        <v>198</v>
      </c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 t="str">
        <f>Z19&amp;"*"&amp;AA19&amp;"*"&amp;AB19</f>
        <v>48.26*43.18*10.16</v>
      </c>
      <c r="W19" s="214">
        <v>19</v>
      </c>
      <c r="X19" s="214">
        <v>17</v>
      </c>
      <c r="Y19" s="214">
        <v>4</v>
      </c>
      <c r="Z19" s="214">
        <f>+W19*2.54</f>
        <v>48.26</v>
      </c>
      <c r="AA19" s="214">
        <f t="shared" ref="AA19:AB23" si="0">+X19*2.54</f>
        <v>43.18</v>
      </c>
      <c r="AB19" s="214">
        <f t="shared" si="0"/>
        <v>10.16</v>
      </c>
    </row>
    <row r="20" spans="1:28">
      <c r="A20" s="221">
        <v>1</v>
      </c>
      <c r="B20" s="221">
        <v>1</v>
      </c>
      <c r="C20" s="221" t="s">
        <v>190</v>
      </c>
      <c r="D20" s="221" t="s">
        <v>219</v>
      </c>
      <c r="E20" s="221" t="s">
        <v>231</v>
      </c>
      <c r="F20" s="221" t="s">
        <v>232</v>
      </c>
      <c r="G20" s="221">
        <v>12</v>
      </c>
      <c r="H20" s="221">
        <v>12</v>
      </c>
      <c r="I20" s="221"/>
      <c r="J20" s="221"/>
      <c r="K20" s="221"/>
      <c r="L20" s="221"/>
      <c r="M20" s="221"/>
      <c r="N20" s="221"/>
      <c r="O20" s="221"/>
      <c r="P20" s="221">
        <v>1</v>
      </c>
      <c r="Q20" s="221">
        <v>12</v>
      </c>
      <c r="R20" s="222">
        <f>+T20/P20</f>
        <v>2.38</v>
      </c>
      <c r="S20" s="222">
        <f>+U20/P20</f>
        <v>2.9</v>
      </c>
      <c r="T20" s="222">
        <v>2.38</v>
      </c>
      <c r="U20" s="222">
        <v>2.9</v>
      </c>
      <c r="V20" s="221" t="str">
        <f>Z20&amp;"*"&amp;AA20&amp;"*"&amp;AB20</f>
        <v>40.64*22.86*8.89</v>
      </c>
      <c r="W20" s="223">
        <v>16</v>
      </c>
      <c r="X20" s="223">
        <v>9</v>
      </c>
      <c r="Y20" s="223">
        <v>3.5</v>
      </c>
      <c r="Z20" s="214">
        <f>+W20*2.54</f>
        <v>40.64</v>
      </c>
      <c r="AA20" s="214">
        <f t="shared" si="0"/>
        <v>22.86</v>
      </c>
      <c r="AB20" s="214">
        <f t="shared" si="0"/>
        <v>8.89</v>
      </c>
    </row>
    <row r="21" spans="1:28">
      <c r="A21" s="221">
        <v>2</v>
      </c>
      <c r="B21" s="221">
        <v>2</v>
      </c>
      <c r="C21" s="221" t="s">
        <v>190</v>
      </c>
      <c r="D21" s="221"/>
      <c r="E21" s="221"/>
      <c r="F21" s="221"/>
      <c r="G21" s="221">
        <v>6</v>
      </c>
      <c r="H21" s="221"/>
      <c r="I21" s="221"/>
      <c r="J21" s="221"/>
      <c r="K21" s="221">
        <v>6</v>
      </c>
      <c r="L21" s="221"/>
      <c r="M21" s="221"/>
      <c r="N21" s="221"/>
      <c r="O21" s="221"/>
      <c r="P21" s="221"/>
      <c r="Q21" s="221">
        <v>6</v>
      </c>
      <c r="R21" s="222"/>
      <c r="S21" s="222"/>
      <c r="T21" s="222"/>
      <c r="U21" s="222"/>
      <c r="V21" s="221" t="str">
        <f t="shared" ref="V21:V23" si="1">Z21&amp;"*"&amp;AA21&amp;"*"&amp;AB21</f>
        <v>22.86*22.86*7.62</v>
      </c>
      <c r="W21" s="223">
        <v>9</v>
      </c>
      <c r="X21" s="223">
        <v>9</v>
      </c>
      <c r="Y21" s="223">
        <v>3</v>
      </c>
      <c r="Z21" s="214">
        <f t="shared" ref="Z21:Z23" si="2">+W21*2.54</f>
        <v>22.86</v>
      </c>
      <c r="AA21" s="214">
        <f t="shared" si="0"/>
        <v>22.86</v>
      </c>
      <c r="AB21" s="214">
        <f t="shared" si="0"/>
        <v>7.62</v>
      </c>
    </row>
    <row r="22" spans="1:28">
      <c r="A22" s="230">
        <v>3</v>
      </c>
      <c r="B22" s="230">
        <v>3</v>
      </c>
      <c r="C22" s="230"/>
      <c r="D22" s="230"/>
      <c r="E22" s="230"/>
      <c r="F22" s="230"/>
      <c r="G22" s="230">
        <v>15</v>
      </c>
      <c r="H22" s="230"/>
      <c r="I22" s="230">
        <v>15</v>
      </c>
      <c r="J22" s="230"/>
      <c r="K22" s="230"/>
      <c r="L22" s="230"/>
      <c r="M22" s="230"/>
      <c r="N22" s="230"/>
      <c r="O22" s="230"/>
      <c r="P22" s="230">
        <v>1</v>
      </c>
      <c r="Q22" s="230">
        <v>15</v>
      </c>
      <c r="R22" s="222">
        <f t="shared" ref="R22:R23" si="3">+T22/P22</f>
        <v>1.2000000000000002</v>
      </c>
      <c r="S22" s="222">
        <f t="shared" ref="S22:S23" si="4">+U22/P22</f>
        <v>1.6</v>
      </c>
      <c r="T22" s="231">
        <v>1.2000000000000002</v>
      </c>
      <c r="U22" s="231">
        <v>1.6</v>
      </c>
      <c r="V22" s="221" t="str">
        <f t="shared" si="1"/>
        <v>40.64*22.86*11.43</v>
      </c>
      <c r="W22" s="223">
        <v>16</v>
      </c>
      <c r="X22" s="223">
        <v>9</v>
      </c>
      <c r="Y22" s="223">
        <v>4.5</v>
      </c>
      <c r="Z22" s="214">
        <f t="shared" si="2"/>
        <v>40.64</v>
      </c>
      <c r="AA22" s="214">
        <f t="shared" si="0"/>
        <v>22.86</v>
      </c>
      <c r="AB22" s="214">
        <f t="shared" si="0"/>
        <v>11.43</v>
      </c>
    </row>
    <row r="23" spans="1:28">
      <c r="A23" s="230">
        <v>4</v>
      </c>
      <c r="B23" s="230">
        <v>4</v>
      </c>
      <c r="C23" s="230"/>
      <c r="D23" s="230"/>
      <c r="E23" s="230"/>
      <c r="F23" s="230"/>
      <c r="G23" s="230">
        <v>15</v>
      </c>
      <c r="H23" s="230"/>
      <c r="I23" s="230"/>
      <c r="J23" s="230">
        <v>15</v>
      </c>
      <c r="K23" s="230"/>
      <c r="L23" s="230"/>
      <c r="M23" s="230"/>
      <c r="N23" s="230"/>
      <c r="O23" s="230"/>
      <c r="P23" s="230">
        <v>1</v>
      </c>
      <c r="Q23" s="230">
        <v>15</v>
      </c>
      <c r="R23" s="222">
        <f t="shared" si="3"/>
        <v>1.2799999999999998</v>
      </c>
      <c r="S23" s="222">
        <f t="shared" si="4"/>
        <v>1.68</v>
      </c>
      <c r="T23" s="231">
        <v>1.2799999999999998</v>
      </c>
      <c r="U23" s="231">
        <v>1.68</v>
      </c>
      <c r="V23" s="221" t="str">
        <f t="shared" si="1"/>
        <v>40.64*22.86*11.43</v>
      </c>
      <c r="W23" s="223">
        <v>16</v>
      </c>
      <c r="X23" s="223">
        <v>9</v>
      </c>
      <c r="Y23" s="223">
        <v>4.5</v>
      </c>
      <c r="Z23" s="214">
        <f t="shared" si="2"/>
        <v>40.64</v>
      </c>
      <c r="AA23" s="214">
        <f t="shared" si="0"/>
        <v>22.86</v>
      </c>
      <c r="AB23" s="214">
        <f t="shared" si="0"/>
        <v>11.43</v>
      </c>
    </row>
    <row r="24" spans="1:28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/>
      <c r="X24" s="223"/>
      <c r="Y24" s="223"/>
    </row>
    <row r="25" spans="1:28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22"/>
      <c r="S25" s="222"/>
      <c r="T25" s="231"/>
      <c r="U25" s="231"/>
      <c r="V25" s="230"/>
    </row>
    <row r="26" spans="1:28" s="216" customFormat="1" ht="14.25">
      <c r="A26" s="232"/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>
        <f>SUM(N20:N25)</f>
        <v>0</v>
      </c>
      <c r="O26" s="232">
        <f>SUM(O20:O25)</f>
        <v>0</v>
      </c>
      <c r="P26" s="232">
        <f>SUM(P20:P25)</f>
        <v>3</v>
      </c>
      <c r="Q26" s="232">
        <f>SUM(Q20:Q25)</f>
        <v>48</v>
      </c>
      <c r="R26" s="232"/>
      <c r="S26" s="305"/>
      <c r="T26" s="232">
        <f>SUM(T20:T25)</f>
        <v>4.8599999999999994</v>
      </c>
      <c r="U26" s="305">
        <f>SUM(U20:U25)</f>
        <v>6.18</v>
      </c>
      <c r="V26" s="232"/>
    </row>
    <row r="27" spans="1:28" s="216" customFormat="1" ht="14.25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</row>
    <row r="28" spans="1:28">
      <c r="A28" s="223"/>
      <c r="B28" s="223"/>
      <c r="C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4"/>
      <c r="S28" s="224"/>
      <c r="T28" s="224"/>
      <c r="U28" s="224"/>
      <c r="V28" s="215"/>
    </row>
    <row r="29" spans="1:28">
      <c r="C29" s="234" t="s">
        <v>191</v>
      </c>
      <c r="D29" s="234" t="s">
        <v>181</v>
      </c>
      <c r="E29" s="234" t="s">
        <v>192</v>
      </c>
      <c r="F29" s="234" t="s">
        <v>193</v>
      </c>
      <c r="G29" s="234" t="s">
        <v>59</v>
      </c>
      <c r="H29" s="234" t="s">
        <v>27</v>
      </c>
      <c r="I29" s="234" t="s">
        <v>28</v>
      </c>
      <c r="J29" s="234" t="s">
        <v>29</v>
      </c>
      <c r="K29" s="234" t="s">
        <v>30</v>
      </c>
      <c r="L29" s="234" t="s">
        <v>145</v>
      </c>
      <c r="M29" s="234"/>
      <c r="N29" s="234"/>
      <c r="O29" s="234"/>
      <c r="P29" s="219" t="s">
        <v>31</v>
      </c>
      <c r="Q29" s="219" t="s">
        <v>32</v>
      </c>
    </row>
    <row r="30" spans="1:28">
      <c r="C30" s="235" t="s">
        <v>214</v>
      </c>
      <c r="D30" s="235" t="s">
        <v>219</v>
      </c>
      <c r="E30" s="235" t="s">
        <v>220</v>
      </c>
      <c r="F30" s="235" t="s">
        <v>232</v>
      </c>
      <c r="G30" s="221">
        <v>10</v>
      </c>
      <c r="H30" s="221">
        <v>6</v>
      </c>
      <c r="I30" s="221">
        <v>17</v>
      </c>
      <c r="J30" s="221">
        <v>15</v>
      </c>
      <c r="K30" s="221"/>
      <c r="L30" s="375"/>
      <c r="M30" s="234"/>
      <c r="N30" s="234"/>
      <c r="O30" s="234"/>
      <c r="P30" s="235">
        <v>3</v>
      </c>
      <c r="Q30" s="235">
        <v>48</v>
      </c>
      <c r="W30" s="214">
        <f>+SUM(G30:K30)</f>
        <v>48</v>
      </c>
      <c r="X30" s="214">
        <f>+Q30-W30</f>
        <v>0</v>
      </c>
    </row>
    <row r="31" spans="1:28">
      <c r="C31" s="235"/>
      <c r="D31" s="235"/>
      <c r="E31" s="235"/>
      <c r="F31" s="235"/>
      <c r="G31" s="230"/>
      <c r="H31" s="230"/>
      <c r="I31" s="230"/>
      <c r="J31" s="230"/>
      <c r="K31" s="230"/>
      <c r="L31" s="234"/>
      <c r="M31" s="234"/>
      <c r="N31" s="234"/>
      <c r="O31" s="234"/>
      <c r="P31" s="235"/>
      <c r="Q31" s="235"/>
    </row>
    <row r="32" spans="1:28"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</row>
    <row r="33" spans="3:17">
      <c r="C33" s="215"/>
      <c r="D33" s="215"/>
      <c r="E33" s="215"/>
      <c r="F33" s="215"/>
      <c r="G33" s="215"/>
      <c r="H33" s="215"/>
      <c r="I33" s="215"/>
      <c r="J33" s="218" t="s">
        <v>33</v>
      </c>
      <c r="K33" s="215"/>
      <c r="L33" s="218"/>
      <c r="M33" s="218"/>
      <c r="N33" s="218"/>
      <c r="O33" s="218"/>
      <c r="P33" s="218">
        <f>SUM(P30:P31)</f>
        <v>3</v>
      </c>
      <c r="Q33" s="218">
        <f>SUM(Q30:Q31)</f>
        <v>48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T28" xr:uid="{00000000-0009-0000-0000-000004000000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48402777800000002" bottom="0.48402777800000002" header="0.51180555555555496" footer="0.51180555555555496"/>
  <pageSetup scale="54" fitToHeight="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BE62-BB49-4BD4-898E-02071182D371}">
  <sheetPr>
    <pageSetUpPr fitToPage="1"/>
  </sheetPr>
  <dimension ref="A1:CG149"/>
  <sheetViews>
    <sheetView view="pageBreakPreview" topLeftCell="A9" zoomScale="70" zoomScaleNormal="70" zoomScaleSheetLayoutView="70" workbookViewId="0">
      <selection activeCell="J26" sqref="J26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2.7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214</v>
      </c>
      <c r="G13" s="214" t="s">
        <v>176</v>
      </c>
    </row>
    <row r="14" spans="1:85">
      <c r="A14" s="291" t="s">
        <v>177</v>
      </c>
      <c r="B14" s="291"/>
      <c r="D14" s="214" t="str">
        <f>+B13</f>
        <v>GU117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/>
      <c r="B19" s="232"/>
      <c r="C19" s="232" t="s">
        <v>198</v>
      </c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 t="str">
        <f>Z19&amp;"*"&amp;AA19&amp;"*"&amp;AB19</f>
        <v>48.26*43.18*10.16</v>
      </c>
      <c r="W19" s="214">
        <v>19</v>
      </c>
      <c r="X19" s="214">
        <v>17</v>
      </c>
      <c r="Y19" s="214">
        <v>4</v>
      </c>
      <c r="Z19" s="214">
        <f>+W19*2.54</f>
        <v>48.26</v>
      </c>
      <c r="AA19" s="214">
        <f t="shared" ref="AA19:AB23" si="0">+X19*2.54</f>
        <v>43.18</v>
      </c>
      <c r="AB19" s="214">
        <f t="shared" si="0"/>
        <v>10.16</v>
      </c>
    </row>
    <row r="20" spans="1:28">
      <c r="A20" s="221">
        <v>1</v>
      </c>
      <c r="B20" s="221">
        <v>1</v>
      </c>
      <c r="C20" s="221" t="s">
        <v>190</v>
      </c>
      <c r="D20" s="221" t="s">
        <v>219</v>
      </c>
      <c r="E20" s="221" t="s">
        <v>231</v>
      </c>
      <c r="F20" s="221" t="s">
        <v>232</v>
      </c>
      <c r="G20" s="221">
        <v>12</v>
      </c>
      <c r="H20" s="221">
        <v>12</v>
      </c>
      <c r="I20" s="221"/>
      <c r="J20" s="221"/>
      <c r="K20" s="221"/>
      <c r="L20" s="221"/>
      <c r="M20" s="221"/>
      <c r="N20" s="221"/>
      <c r="O20" s="221"/>
      <c r="P20" s="221">
        <v>1</v>
      </c>
      <c r="Q20" s="221">
        <v>12</v>
      </c>
      <c r="R20" s="222">
        <f>+T20/P20</f>
        <v>2.38</v>
      </c>
      <c r="S20" s="222">
        <f>+U20/P20</f>
        <v>2.9</v>
      </c>
      <c r="T20" s="222">
        <v>2.38</v>
      </c>
      <c r="U20" s="222">
        <v>2.9</v>
      </c>
      <c r="V20" s="221" t="str">
        <f>Z20&amp;"*"&amp;AA20&amp;"*"&amp;AB20</f>
        <v>40.64*22.86*8.89</v>
      </c>
      <c r="W20" s="223">
        <v>16</v>
      </c>
      <c r="X20" s="223">
        <v>9</v>
      </c>
      <c r="Y20" s="223">
        <v>3.5</v>
      </c>
      <c r="Z20" s="214">
        <f>+W20*2.54</f>
        <v>40.64</v>
      </c>
      <c r="AA20" s="214">
        <f t="shared" si="0"/>
        <v>22.86</v>
      </c>
      <c r="AB20" s="214">
        <f t="shared" si="0"/>
        <v>8.89</v>
      </c>
    </row>
    <row r="21" spans="1:28">
      <c r="A21" s="221">
        <v>2</v>
      </c>
      <c r="B21" s="221">
        <v>2</v>
      </c>
      <c r="C21" s="221" t="s">
        <v>190</v>
      </c>
      <c r="D21" s="221"/>
      <c r="E21" s="221"/>
      <c r="F21" s="221"/>
      <c r="G21" s="221">
        <v>6</v>
      </c>
      <c r="H21" s="221"/>
      <c r="I21" s="221"/>
      <c r="J21" s="221"/>
      <c r="K21" s="221">
        <v>6</v>
      </c>
      <c r="L21" s="221"/>
      <c r="M21" s="221"/>
      <c r="N21" s="221"/>
      <c r="O21" s="221"/>
      <c r="P21" s="221">
        <v>1</v>
      </c>
      <c r="Q21" s="221">
        <v>6</v>
      </c>
      <c r="R21" s="222"/>
      <c r="S21" s="222"/>
      <c r="T21" s="222"/>
      <c r="U21" s="222"/>
      <c r="V21" s="221" t="str">
        <f t="shared" ref="V21:V23" si="1">Z21&amp;"*"&amp;AA21&amp;"*"&amp;AB21</f>
        <v>22.86*22.86*7.62</v>
      </c>
      <c r="W21" s="223">
        <v>9</v>
      </c>
      <c r="X21" s="223">
        <v>9</v>
      </c>
      <c r="Y21" s="223">
        <v>3</v>
      </c>
      <c r="Z21" s="214">
        <f t="shared" ref="Z21:Z23" si="2">+W21*2.54</f>
        <v>22.86</v>
      </c>
      <c r="AA21" s="214">
        <f t="shared" si="0"/>
        <v>22.86</v>
      </c>
      <c r="AB21" s="214">
        <f t="shared" si="0"/>
        <v>7.62</v>
      </c>
    </row>
    <row r="22" spans="1:28">
      <c r="A22" s="230">
        <v>3</v>
      </c>
      <c r="B22" s="230">
        <v>3</v>
      </c>
      <c r="C22" s="230"/>
      <c r="D22" s="230"/>
      <c r="E22" s="230"/>
      <c r="F22" s="230"/>
      <c r="G22" s="230">
        <v>15</v>
      </c>
      <c r="H22" s="230"/>
      <c r="I22" s="230">
        <v>15</v>
      </c>
      <c r="J22" s="230"/>
      <c r="K22" s="230"/>
      <c r="L22" s="230"/>
      <c r="M22" s="230"/>
      <c r="N22" s="230"/>
      <c r="O22" s="230"/>
      <c r="P22" s="230">
        <v>1</v>
      </c>
      <c r="Q22" s="230">
        <v>15</v>
      </c>
      <c r="R22" s="222">
        <f t="shared" ref="R22:R23" si="3">+T22/P22</f>
        <v>1.2000000000000002</v>
      </c>
      <c r="S22" s="222">
        <f t="shared" ref="S22:S23" si="4">+U22/P22</f>
        <v>1.6</v>
      </c>
      <c r="T22" s="231">
        <v>1.2000000000000002</v>
      </c>
      <c r="U22" s="231">
        <v>1.6</v>
      </c>
      <c r="V22" s="221" t="str">
        <f t="shared" si="1"/>
        <v>40.64*22.86*11.43</v>
      </c>
      <c r="W22" s="223">
        <v>16</v>
      </c>
      <c r="X22" s="223">
        <v>9</v>
      </c>
      <c r="Y22" s="223">
        <v>4.5</v>
      </c>
      <c r="Z22" s="214">
        <f t="shared" si="2"/>
        <v>40.64</v>
      </c>
      <c r="AA22" s="214">
        <f t="shared" si="0"/>
        <v>22.86</v>
      </c>
      <c r="AB22" s="214">
        <f t="shared" si="0"/>
        <v>11.43</v>
      </c>
    </row>
    <row r="23" spans="1:28">
      <c r="A23" s="230">
        <v>4</v>
      </c>
      <c r="B23" s="230">
        <v>4</v>
      </c>
      <c r="C23" s="230"/>
      <c r="D23" s="230"/>
      <c r="E23" s="230"/>
      <c r="F23" s="230"/>
      <c r="G23" s="230">
        <v>15</v>
      </c>
      <c r="H23" s="230"/>
      <c r="I23" s="230"/>
      <c r="J23" s="230">
        <v>15</v>
      </c>
      <c r="K23" s="230"/>
      <c r="L23" s="230"/>
      <c r="M23" s="230"/>
      <c r="N23" s="230"/>
      <c r="O23" s="230"/>
      <c r="P23" s="230">
        <v>1</v>
      </c>
      <c r="Q23" s="230">
        <v>15</v>
      </c>
      <c r="R23" s="222">
        <f t="shared" si="3"/>
        <v>1.2799999999999998</v>
      </c>
      <c r="S23" s="222">
        <f t="shared" si="4"/>
        <v>1.68</v>
      </c>
      <c r="T23" s="231">
        <v>1.2799999999999998</v>
      </c>
      <c r="U23" s="231">
        <v>1.68</v>
      </c>
      <c r="V23" s="221" t="str">
        <f t="shared" si="1"/>
        <v>40.64*22.86*11.43</v>
      </c>
      <c r="W23" s="223">
        <v>16</v>
      </c>
      <c r="X23" s="223">
        <v>9</v>
      </c>
      <c r="Y23" s="223">
        <v>4.5</v>
      </c>
      <c r="Z23" s="214">
        <f t="shared" si="2"/>
        <v>40.64</v>
      </c>
      <c r="AA23" s="214">
        <f t="shared" si="0"/>
        <v>22.86</v>
      </c>
      <c r="AB23" s="214">
        <f t="shared" si="0"/>
        <v>11.43</v>
      </c>
    </row>
    <row r="24" spans="1:28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/>
      <c r="X24" s="223"/>
      <c r="Y24" s="223"/>
    </row>
    <row r="25" spans="1:28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22"/>
      <c r="S25" s="222"/>
      <c r="T25" s="231"/>
      <c r="U25" s="231"/>
      <c r="V25" s="230"/>
    </row>
    <row r="26" spans="1:28" s="216" customFormat="1" ht="14.25">
      <c r="A26" s="232"/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>
        <f>SUM(N20:N25)</f>
        <v>0</v>
      </c>
      <c r="O26" s="232">
        <f>SUM(O20:O25)</f>
        <v>0</v>
      </c>
      <c r="P26" s="232">
        <f>SUM(P20:P25)</f>
        <v>4</v>
      </c>
      <c r="Q26" s="232">
        <f>SUM(Q20:Q25)</f>
        <v>48</v>
      </c>
      <c r="R26" s="232"/>
      <c r="S26" s="305"/>
      <c r="T26" s="232">
        <f>SUM(T20:T25)</f>
        <v>4.8599999999999994</v>
      </c>
      <c r="U26" s="305">
        <f>SUM(U20:U25)</f>
        <v>6.18</v>
      </c>
      <c r="V26" s="232"/>
    </row>
    <row r="27" spans="1:28" s="216" customFormat="1" ht="14.25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</row>
    <row r="28" spans="1:28">
      <c r="A28" s="223"/>
      <c r="B28" s="223"/>
      <c r="C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4"/>
      <c r="S28" s="224"/>
      <c r="T28" s="224"/>
      <c r="U28" s="224"/>
      <c r="V28" s="215"/>
    </row>
    <row r="29" spans="1:28">
      <c r="C29" s="234" t="s">
        <v>191</v>
      </c>
      <c r="D29" s="234" t="s">
        <v>181</v>
      </c>
      <c r="E29" s="234" t="s">
        <v>192</v>
      </c>
      <c r="F29" s="234" t="s">
        <v>193</v>
      </c>
      <c r="G29" s="234" t="s">
        <v>59</v>
      </c>
      <c r="H29" s="234" t="s">
        <v>27</v>
      </c>
      <c r="I29" s="234" t="s">
        <v>28</v>
      </c>
      <c r="J29" s="234" t="s">
        <v>29</v>
      </c>
      <c r="K29" s="234" t="s">
        <v>30</v>
      </c>
      <c r="L29" s="234" t="s">
        <v>145</v>
      </c>
      <c r="M29" s="234"/>
      <c r="N29" s="234"/>
      <c r="O29" s="234"/>
      <c r="P29" s="219" t="s">
        <v>31</v>
      </c>
      <c r="Q29" s="219" t="s">
        <v>32</v>
      </c>
    </row>
    <row r="30" spans="1:28">
      <c r="C30" s="235" t="s">
        <v>214</v>
      </c>
      <c r="D30" s="235" t="s">
        <v>219</v>
      </c>
      <c r="E30" s="235" t="s">
        <v>220</v>
      </c>
      <c r="F30" s="235" t="s">
        <v>232</v>
      </c>
      <c r="G30" s="221">
        <v>10</v>
      </c>
      <c r="H30" s="221">
        <v>6</v>
      </c>
      <c r="I30" s="221">
        <v>17</v>
      </c>
      <c r="J30" s="221">
        <v>15</v>
      </c>
      <c r="K30" s="221"/>
      <c r="L30" s="375"/>
      <c r="M30" s="234"/>
      <c r="N30" s="234"/>
      <c r="O30" s="234"/>
      <c r="P30" s="235">
        <v>4</v>
      </c>
      <c r="Q30" s="235">
        <v>48</v>
      </c>
      <c r="W30" s="214">
        <f>+SUM(G30:K30)</f>
        <v>48</v>
      </c>
      <c r="X30" s="214">
        <f>+Q30-W30</f>
        <v>0</v>
      </c>
    </row>
    <row r="31" spans="1:28">
      <c r="C31" s="235"/>
      <c r="D31" s="235"/>
      <c r="E31" s="235"/>
      <c r="F31" s="235"/>
      <c r="G31" s="230"/>
      <c r="H31" s="230"/>
      <c r="I31" s="230"/>
      <c r="J31" s="230"/>
      <c r="K31" s="230"/>
      <c r="L31" s="234"/>
      <c r="M31" s="234"/>
      <c r="N31" s="234"/>
      <c r="O31" s="234"/>
      <c r="P31" s="235"/>
      <c r="Q31" s="235"/>
    </row>
    <row r="32" spans="1:28"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</row>
    <row r="33" spans="3:17">
      <c r="C33" s="215"/>
      <c r="D33" s="215"/>
      <c r="E33" s="215"/>
      <c r="F33" s="215"/>
      <c r="G33" s="215"/>
      <c r="H33" s="215"/>
      <c r="I33" s="215"/>
      <c r="J33" s="218" t="s">
        <v>33</v>
      </c>
      <c r="K33" s="215"/>
      <c r="L33" s="218"/>
      <c r="M33" s="218"/>
      <c r="N33" s="218"/>
      <c r="O33" s="218"/>
      <c r="P33" s="218">
        <f>SUM(P30:P31)</f>
        <v>4</v>
      </c>
      <c r="Q33" s="218">
        <f>SUM(Q30:Q31)</f>
        <v>48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D18" xr:uid="{00000000-0009-0000-0000-000005000000}">
    <filterColumn colId="0" showButton="0"/>
    <filterColumn colId="1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98402777777777795" bottom="0.98402777777777795" header="0.51180555555555496" footer="0.51180555555555496"/>
  <pageSetup scale="54" fitToHeight="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6E3A-E2EC-40BA-90A1-6B1383139F39}">
  <sheetPr>
    <tabColor theme="0" tint="-0.14999847407452621"/>
    <pageSetUpPr fitToPage="1"/>
  </sheetPr>
  <dimension ref="A1:HW56"/>
  <sheetViews>
    <sheetView view="pageBreakPreview" topLeftCell="A45" zoomScale="60" zoomScaleNormal="80" workbookViewId="0">
      <selection activeCell="J62" sqref="J62"/>
    </sheetView>
  </sheetViews>
  <sheetFormatPr defaultColWidth="9" defaultRowHeight="15"/>
  <cols>
    <col min="1" max="1" width="17" style="313" customWidth="1"/>
    <col min="2" max="2" width="29.5" style="313" customWidth="1"/>
    <col min="3" max="3" width="15.25" style="313" customWidth="1"/>
    <col min="4" max="5" width="11.375" style="313" customWidth="1"/>
    <col min="6" max="6" width="15" style="313" customWidth="1"/>
    <col min="7" max="7" width="13.625" style="313" customWidth="1"/>
    <col min="8" max="11" width="13.625" style="344" customWidth="1"/>
    <col min="12" max="12" width="13.375" style="345" customWidth="1"/>
    <col min="13" max="13" width="11.25" style="344" customWidth="1"/>
    <col min="14" max="14" width="10.25" style="313" customWidth="1"/>
    <col min="15" max="15" width="27.125" style="313" customWidth="1"/>
    <col min="16" max="16384" width="9" style="313"/>
  </cols>
  <sheetData>
    <row r="1" spans="1:231" s="308" customFormat="1" ht="21.75" customHeight="1">
      <c r="A1" s="31" t="s">
        <v>151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2" spans="1:231" s="308" customFormat="1" ht="22.5" customHeight="1">
      <c r="A2" s="14" t="s">
        <v>152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10"/>
      <c r="BO2" s="310"/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10"/>
      <c r="CB2" s="310"/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10"/>
      <c r="CO2" s="310"/>
      <c r="CP2" s="310"/>
      <c r="CQ2" s="310"/>
      <c r="CR2" s="310"/>
      <c r="CS2" s="310"/>
      <c r="CT2" s="310"/>
      <c r="CU2" s="310"/>
      <c r="CV2" s="310"/>
      <c r="CW2" s="310"/>
      <c r="CX2" s="310"/>
      <c r="CY2" s="310"/>
      <c r="CZ2" s="310"/>
      <c r="DA2" s="310"/>
      <c r="DB2" s="310"/>
      <c r="DC2" s="310"/>
      <c r="DD2" s="310"/>
      <c r="DE2" s="310"/>
      <c r="DF2" s="310"/>
      <c r="DG2" s="310"/>
      <c r="DH2" s="310"/>
      <c r="DI2" s="310"/>
      <c r="DJ2" s="310"/>
      <c r="DK2" s="310"/>
      <c r="DL2" s="310"/>
      <c r="DM2" s="310"/>
      <c r="DN2" s="310"/>
      <c r="DO2" s="310"/>
      <c r="DP2" s="310"/>
      <c r="DQ2" s="310"/>
      <c r="DR2" s="310"/>
      <c r="DS2" s="310"/>
      <c r="DT2" s="310"/>
      <c r="DU2" s="310"/>
      <c r="DV2" s="310"/>
      <c r="DW2" s="310"/>
      <c r="DX2" s="310"/>
      <c r="DY2" s="310"/>
      <c r="DZ2" s="310"/>
      <c r="EA2" s="310"/>
      <c r="EB2" s="310"/>
      <c r="EC2" s="310"/>
      <c r="ED2" s="310"/>
      <c r="EE2" s="310"/>
      <c r="EF2" s="310"/>
      <c r="EG2" s="310"/>
      <c r="EH2" s="310"/>
      <c r="EI2" s="310"/>
      <c r="EJ2" s="310"/>
      <c r="EK2" s="310"/>
      <c r="EL2" s="310"/>
      <c r="EM2" s="310"/>
      <c r="EN2" s="310"/>
      <c r="EO2" s="310"/>
      <c r="EP2" s="310"/>
      <c r="EQ2" s="310"/>
      <c r="ER2" s="310"/>
      <c r="ES2" s="310"/>
      <c r="ET2" s="310"/>
      <c r="EU2" s="310"/>
      <c r="EV2" s="310"/>
      <c r="EW2" s="310"/>
      <c r="EX2" s="310"/>
      <c r="EY2" s="310"/>
      <c r="EZ2" s="310"/>
      <c r="FA2" s="310"/>
      <c r="FB2" s="310"/>
      <c r="FC2" s="310"/>
      <c r="FD2" s="310"/>
      <c r="FE2" s="310"/>
      <c r="FF2" s="310"/>
      <c r="FG2" s="310"/>
      <c r="FH2" s="310"/>
      <c r="FI2" s="310"/>
      <c r="FJ2" s="310"/>
      <c r="FK2" s="310"/>
      <c r="FL2" s="310"/>
      <c r="FM2" s="310"/>
      <c r="FN2" s="310"/>
      <c r="FO2" s="310"/>
      <c r="FP2" s="310"/>
      <c r="FQ2" s="310"/>
      <c r="FR2" s="310"/>
      <c r="FS2" s="310"/>
      <c r="FT2" s="310"/>
      <c r="FU2" s="310"/>
      <c r="FV2" s="310"/>
      <c r="FW2" s="310"/>
      <c r="FX2" s="310"/>
      <c r="FY2" s="310"/>
      <c r="FZ2" s="310"/>
      <c r="GA2" s="310"/>
      <c r="GB2" s="310"/>
      <c r="GC2" s="310"/>
      <c r="GD2" s="310"/>
      <c r="GE2" s="310"/>
      <c r="GF2" s="310"/>
      <c r="GG2" s="310"/>
      <c r="GH2" s="310"/>
      <c r="GI2" s="310"/>
      <c r="GJ2" s="310"/>
      <c r="GK2" s="310"/>
      <c r="GL2" s="310"/>
      <c r="GM2" s="310"/>
      <c r="GN2" s="310"/>
      <c r="GO2" s="310"/>
      <c r="GP2" s="310"/>
      <c r="GQ2" s="310"/>
      <c r="GR2" s="310"/>
      <c r="GS2" s="310"/>
      <c r="GT2" s="310"/>
      <c r="GU2" s="310"/>
      <c r="GV2" s="310"/>
      <c r="GW2" s="310"/>
      <c r="GX2" s="310"/>
      <c r="GY2" s="310"/>
      <c r="GZ2" s="310"/>
      <c r="HA2" s="310"/>
      <c r="HB2" s="310"/>
      <c r="HC2" s="310"/>
      <c r="HD2" s="310"/>
      <c r="HE2" s="310"/>
      <c r="HF2" s="310"/>
      <c r="HG2" s="310"/>
      <c r="HH2" s="310"/>
      <c r="HI2" s="310"/>
      <c r="HJ2" s="310"/>
      <c r="HK2" s="310"/>
      <c r="HL2" s="310"/>
      <c r="HM2" s="310"/>
      <c r="HN2" s="310"/>
      <c r="HO2" s="310"/>
      <c r="HP2" s="310"/>
      <c r="HQ2" s="310"/>
      <c r="HR2" s="310"/>
      <c r="HS2" s="310"/>
      <c r="HT2" s="310"/>
      <c r="HU2" s="310"/>
    </row>
    <row r="3" spans="1:231" ht="23.25" customHeight="1">
      <c r="A3" s="14" t="s">
        <v>153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2"/>
      <c r="AR3" s="312"/>
      <c r="AS3" s="312"/>
      <c r="AT3" s="312"/>
      <c r="AU3" s="312"/>
      <c r="AV3" s="312"/>
      <c r="AW3" s="312"/>
      <c r="AX3" s="312"/>
      <c r="AY3" s="312"/>
      <c r="AZ3" s="312"/>
      <c r="BA3" s="312"/>
      <c r="BB3" s="312"/>
      <c r="BC3" s="312"/>
      <c r="BD3" s="312"/>
      <c r="BE3" s="312"/>
      <c r="BF3" s="312"/>
      <c r="BG3" s="312"/>
      <c r="BH3" s="312"/>
      <c r="BI3" s="312"/>
      <c r="BJ3" s="312"/>
      <c r="BK3" s="312"/>
      <c r="BL3" s="312"/>
      <c r="BM3" s="312"/>
      <c r="BN3" s="312"/>
      <c r="BO3" s="312"/>
      <c r="BP3" s="312"/>
      <c r="BQ3" s="312"/>
      <c r="BR3" s="312"/>
      <c r="BS3" s="312"/>
      <c r="BT3" s="312"/>
      <c r="BU3" s="312"/>
      <c r="BV3" s="312"/>
      <c r="BW3" s="312"/>
      <c r="BX3" s="312"/>
      <c r="BY3" s="312"/>
      <c r="BZ3" s="312"/>
      <c r="CA3" s="312"/>
      <c r="CB3" s="312"/>
      <c r="CC3" s="312"/>
      <c r="CD3" s="312"/>
      <c r="CE3" s="312"/>
      <c r="CF3" s="312"/>
      <c r="CG3" s="312"/>
      <c r="CH3" s="312"/>
      <c r="CI3" s="312"/>
      <c r="CJ3" s="312"/>
      <c r="CK3" s="312"/>
      <c r="CL3" s="312"/>
      <c r="CM3" s="312"/>
      <c r="CN3" s="312"/>
      <c r="CO3" s="312"/>
      <c r="CP3" s="312"/>
      <c r="CQ3" s="312"/>
      <c r="CR3" s="312"/>
      <c r="CS3" s="312"/>
      <c r="CT3" s="312"/>
      <c r="CU3" s="312"/>
      <c r="CV3" s="312"/>
      <c r="CW3" s="312"/>
      <c r="CX3" s="312"/>
      <c r="CY3" s="312"/>
      <c r="CZ3" s="312"/>
      <c r="DA3" s="312"/>
      <c r="DB3" s="312"/>
      <c r="DC3" s="312"/>
      <c r="DD3" s="312"/>
      <c r="DE3" s="312"/>
      <c r="DF3" s="312"/>
      <c r="DG3" s="312"/>
      <c r="DH3" s="312"/>
      <c r="DI3" s="312"/>
      <c r="DJ3" s="312"/>
      <c r="DK3" s="312"/>
      <c r="DL3" s="312"/>
      <c r="DM3" s="312"/>
      <c r="DN3" s="312"/>
      <c r="DO3" s="312"/>
      <c r="DP3" s="312"/>
      <c r="DQ3" s="312"/>
      <c r="DR3" s="312"/>
      <c r="DS3" s="312"/>
      <c r="DT3" s="312"/>
      <c r="DU3" s="312"/>
      <c r="DV3" s="312"/>
      <c r="DW3" s="312"/>
      <c r="DX3" s="312"/>
      <c r="DY3" s="312"/>
      <c r="DZ3" s="312"/>
      <c r="EA3" s="312"/>
      <c r="EB3" s="312"/>
      <c r="EC3" s="312"/>
      <c r="ED3" s="312"/>
      <c r="EE3" s="312"/>
      <c r="EF3" s="312"/>
      <c r="EG3" s="312"/>
      <c r="EH3" s="312"/>
      <c r="EI3" s="312"/>
      <c r="EJ3" s="312"/>
      <c r="EK3" s="312"/>
      <c r="EL3" s="312"/>
      <c r="EM3" s="312"/>
      <c r="EN3" s="312"/>
      <c r="EO3" s="312"/>
      <c r="EP3" s="312"/>
      <c r="EQ3" s="312"/>
      <c r="ER3" s="312"/>
      <c r="ES3" s="312"/>
      <c r="ET3" s="312"/>
      <c r="EU3" s="312"/>
      <c r="EV3" s="312"/>
      <c r="EW3" s="312"/>
      <c r="EX3" s="312"/>
      <c r="EY3" s="312"/>
      <c r="EZ3" s="312"/>
      <c r="FA3" s="312"/>
      <c r="FB3" s="312"/>
      <c r="FC3" s="312"/>
      <c r="FD3" s="312"/>
      <c r="FE3" s="312"/>
      <c r="FF3" s="312"/>
      <c r="FG3" s="312"/>
      <c r="FH3" s="312"/>
      <c r="FI3" s="312"/>
      <c r="FJ3" s="312"/>
      <c r="FK3" s="312"/>
      <c r="FL3" s="312"/>
      <c r="FM3" s="312"/>
      <c r="FN3" s="312"/>
      <c r="FO3" s="312"/>
      <c r="FP3" s="312"/>
      <c r="FQ3" s="312"/>
      <c r="FR3" s="312"/>
      <c r="FS3" s="312"/>
      <c r="FT3" s="312"/>
      <c r="FU3" s="312"/>
      <c r="FV3" s="312"/>
      <c r="FW3" s="312"/>
      <c r="FX3" s="312"/>
      <c r="FY3" s="312"/>
      <c r="FZ3" s="312"/>
      <c r="GA3" s="312"/>
      <c r="GB3" s="312"/>
      <c r="GC3" s="312"/>
      <c r="GD3" s="312"/>
      <c r="GE3" s="312"/>
      <c r="GF3" s="312"/>
      <c r="GG3" s="312"/>
      <c r="GH3" s="312"/>
      <c r="GI3" s="312"/>
      <c r="GJ3" s="312"/>
      <c r="GK3" s="312"/>
      <c r="GL3" s="312"/>
      <c r="GM3" s="312"/>
      <c r="GN3" s="312"/>
      <c r="GO3" s="312"/>
      <c r="GP3" s="312"/>
      <c r="GQ3" s="312"/>
      <c r="GR3" s="312"/>
      <c r="GS3" s="312"/>
      <c r="GT3" s="312"/>
      <c r="GU3" s="312"/>
      <c r="GV3" s="312"/>
      <c r="GW3" s="312"/>
      <c r="GX3" s="312"/>
      <c r="GY3" s="312"/>
      <c r="GZ3" s="312"/>
      <c r="HA3" s="312"/>
      <c r="HB3" s="312"/>
      <c r="HC3" s="312"/>
      <c r="HD3" s="312"/>
      <c r="HE3" s="312"/>
      <c r="HF3" s="312"/>
      <c r="HG3" s="312"/>
      <c r="HH3" s="312"/>
      <c r="HI3" s="312"/>
      <c r="HJ3" s="312"/>
      <c r="HK3" s="312"/>
      <c r="HL3" s="312"/>
      <c r="HM3" s="312"/>
      <c r="HN3" s="312"/>
      <c r="HO3" s="312"/>
      <c r="HP3" s="312"/>
      <c r="HQ3" s="312"/>
      <c r="HR3" s="312"/>
      <c r="HS3" s="312"/>
      <c r="HT3" s="312"/>
      <c r="HU3" s="312"/>
    </row>
    <row r="4" spans="1:231" s="315" customFormat="1" ht="23.25" customHeight="1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</row>
    <row r="5" spans="1:231" s="315" customFormat="1" ht="23.25" customHeight="1">
      <c r="A5" s="316" t="s">
        <v>233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6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  <c r="BE5" s="316"/>
      <c r="BF5" s="316"/>
      <c r="BG5" s="316"/>
      <c r="BH5" s="316"/>
      <c r="BI5" s="316"/>
      <c r="BJ5" s="316"/>
      <c r="BK5" s="316"/>
      <c r="BL5" s="316"/>
      <c r="BM5" s="316"/>
      <c r="BN5" s="316"/>
      <c r="BO5" s="316"/>
      <c r="BP5" s="316"/>
      <c r="BQ5" s="316"/>
      <c r="BR5" s="316"/>
      <c r="BS5" s="316"/>
      <c r="BT5" s="316"/>
      <c r="BU5" s="316"/>
      <c r="BV5" s="316"/>
      <c r="BW5" s="316"/>
      <c r="BX5" s="316"/>
      <c r="BY5" s="316"/>
      <c r="BZ5" s="316"/>
      <c r="CA5" s="316"/>
      <c r="CB5" s="316"/>
      <c r="CC5" s="316"/>
      <c r="CD5" s="316"/>
      <c r="CE5" s="316"/>
      <c r="CF5" s="316"/>
      <c r="CG5" s="316"/>
      <c r="CH5" s="316"/>
      <c r="CI5" s="316"/>
      <c r="CJ5" s="316"/>
      <c r="CK5" s="316"/>
      <c r="CL5" s="316"/>
      <c r="CM5" s="316"/>
      <c r="CN5" s="316"/>
      <c r="CO5" s="316"/>
      <c r="CP5" s="316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J5" s="316"/>
      <c r="FK5" s="316"/>
      <c r="FL5" s="316"/>
      <c r="FM5" s="316"/>
      <c r="FN5" s="316"/>
      <c r="FO5" s="316"/>
      <c r="FP5" s="316"/>
      <c r="FQ5" s="316"/>
      <c r="FR5" s="316"/>
      <c r="FS5" s="316"/>
      <c r="FT5" s="316"/>
      <c r="FU5" s="316"/>
      <c r="FV5" s="316"/>
      <c r="FW5" s="316"/>
      <c r="FX5" s="316"/>
      <c r="FY5" s="316"/>
      <c r="FZ5" s="316"/>
      <c r="GA5" s="316"/>
      <c r="GB5" s="316"/>
      <c r="GC5" s="316"/>
      <c r="GD5" s="316"/>
      <c r="GE5" s="316"/>
      <c r="GF5" s="316"/>
      <c r="GG5" s="316"/>
      <c r="GH5" s="316"/>
      <c r="GI5" s="316"/>
      <c r="GJ5" s="316"/>
      <c r="GK5" s="316"/>
      <c r="GL5" s="316"/>
      <c r="GM5" s="316"/>
      <c r="GN5" s="316"/>
      <c r="GO5" s="316"/>
      <c r="GP5" s="316"/>
      <c r="GQ5" s="316"/>
      <c r="GR5" s="316"/>
      <c r="GS5" s="316"/>
      <c r="GT5" s="316"/>
      <c r="GU5" s="316"/>
      <c r="GV5" s="316"/>
      <c r="GW5" s="316"/>
      <c r="GX5" s="316"/>
      <c r="GY5" s="316"/>
      <c r="GZ5" s="316"/>
      <c r="HA5" s="316"/>
      <c r="HB5" s="316"/>
      <c r="HC5" s="316"/>
      <c r="HD5" s="316"/>
      <c r="HE5" s="316"/>
      <c r="HF5" s="316"/>
      <c r="HG5" s="316"/>
      <c r="HH5" s="316"/>
      <c r="HI5" s="316"/>
      <c r="HJ5" s="316"/>
      <c r="HK5" s="316"/>
      <c r="HL5" s="316"/>
      <c r="HM5" s="316"/>
      <c r="HN5" s="316"/>
      <c r="HO5" s="316"/>
      <c r="HP5" s="316"/>
      <c r="HQ5" s="316"/>
      <c r="HR5" s="316"/>
      <c r="HS5" s="316"/>
      <c r="HT5" s="316"/>
      <c r="HU5" s="316"/>
      <c r="HV5" s="316"/>
      <c r="HW5" s="316"/>
    </row>
    <row r="6" spans="1:231" s="317" customFormat="1" ht="30.75" customHeight="1">
      <c r="A6" s="318" t="s">
        <v>234</v>
      </c>
      <c r="B6" s="319" t="s">
        <v>215</v>
      </c>
      <c r="H6" s="320"/>
      <c r="I6" s="320"/>
      <c r="J6" s="320"/>
      <c r="K6" s="320"/>
      <c r="L6" s="321"/>
      <c r="M6" s="320"/>
    </row>
    <row r="7" spans="1:231" s="317" customFormat="1" ht="30.75" customHeight="1">
      <c r="A7" s="318" t="s">
        <v>235</v>
      </c>
      <c r="B7" s="322">
        <f>+L55</f>
        <v>37</v>
      </c>
      <c r="H7" s="320"/>
      <c r="I7" s="320"/>
      <c r="J7" s="320"/>
      <c r="K7" s="320"/>
      <c r="L7" s="321"/>
      <c r="M7" s="320"/>
    </row>
    <row r="8" spans="1:231" s="317" customFormat="1" ht="30.75" customHeight="1">
      <c r="A8" s="323"/>
      <c r="B8" s="322"/>
      <c r="H8" s="320"/>
      <c r="I8" s="320"/>
      <c r="J8" s="320"/>
      <c r="K8" s="320"/>
      <c r="L8" s="321"/>
      <c r="M8" s="320"/>
    </row>
    <row r="9" spans="1:231" s="317" customFormat="1" ht="30.75" customHeight="1">
      <c r="A9" s="324" t="s">
        <v>236</v>
      </c>
      <c r="B9" s="324" t="s">
        <v>237</v>
      </c>
      <c r="C9" s="324" t="s">
        <v>238</v>
      </c>
      <c r="D9" s="325" t="s">
        <v>239</v>
      </c>
      <c r="E9" s="326"/>
      <c r="F9" s="324" t="s">
        <v>26</v>
      </c>
      <c r="G9" s="324" t="s">
        <v>59</v>
      </c>
      <c r="H9" s="327" t="s">
        <v>27</v>
      </c>
      <c r="I9" s="328" t="s">
        <v>28</v>
      </c>
      <c r="J9" s="328" t="s">
        <v>29</v>
      </c>
      <c r="K9" s="328" t="s">
        <v>30</v>
      </c>
      <c r="L9" s="329" t="s">
        <v>31</v>
      </c>
      <c r="M9" s="329" t="s">
        <v>32</v>
      </c>
      <c r="N9" s="330" t="s">
        <v>186</v>
      </c>
      <c r="O9" s="330" t="s">
        <v>240</v>
      </c>
    </row>
    <row r="10" spans="1:231" s="338" customFormat="1" ht="30.75" customHeight="1">
      <c r="A10" s="331" t="s">
        <v>222</v>
      </c>
      <c r="B10" s="331" t="s">
        <v>231</v>
      </c>
      <c r="C10" s="331" t="s">
        <v>232</v>
      </c>
      <c r="D10" s="331">
        <v>1</v>
      </c>
      <c r="E10" s="331">
        <v>1</v>
      </c>
      <c r="F10" s="332">
        <v>24</v>
      </c>
      <c r="G10" s="332">
        <v>24</v>
      </c>
      <c r="H10" s="332"/>
      <c r="I10" s="332"/>
      <c r="J10" s="332"/>
      <c r="K10" s="332"/>
      <c r="L10" s="333">
        <v>1</v>
      </c>
      <c r="M10" s="334">
        <v>24</v>
      </c>
      <c r="N10" s="369">
        <v>2.94</v>
      </c>
      <c r="O10" s="335" t="str">
        <f>+V10</f>
        <v>50.8*43.18*8.89</v>
      </c>
      <c r="P10" s="336">
        <v>20</v>
      </c>
      <c r="Q10" s="337">
        <v>17</v>
      </c>
      <c r="R10" s="337">
        <v>3.5</v>
      </c>
      <c r="S10" s="338">
        <f>+P10*2.54</f>
        <v>50.8</v>
      </c>
      <c r="T10" s="338">
        <f t="shared" ref="T10:U10" si="0">+Q10*2.54</f>
        <v>43.18</v>
      </c>
      <c r="U10" s="338">
        <f t="shared" si="0"/>
        <v>8.89</v>
      </c>
      <c r="V10" s="338" t="str">
        <f>S10&amp;"*"&amp;T10&amp;"*"&amp;U10</f>
        <v>50.8*43.18*8.89</v>
      </c>
    </row>
    <row r="11" spans="1:231" s="338" customFormat="1" ht="30.75" customHeight="1">
      <c r="A11" s="331" t="s">
        <v>222</v>
      </c>
      <c r="B11" s="331" t="s">
        <v>231</v>
      </c>
      <c r="C11" s="331" t="s">
        <v>232</v>
      </c>
      <c r="D11" s="331">
        <v>2</v>
      </c>
      <c r="E11" s="331">
        <v>2</v>
      </c>
      <c r="F11" s="332">
        <v>24</v>
      </c>
      <c r="G11" s="332"/>
      <c r="H11" s="332">
        <v>24</v>
      </c>
      <c r="I11" s="332"/>
      <c r="J11" s="332"/>
      <c r="K11" s="332"/>
      <c r="L11" s="333">
        <v>1</v>
      </c>
      <c r="M11" s="334">
        <v>24</v>
      </c>
      <c r="N11" s="369">
        <v>3.14</v>
      </c>
      <c r="O11" s="335" t="str">
        <f t="shared" ref="O11:O53" si="1">+V11</f>
        <v>50.8*43.18*8.89</v>
      </c>
      <c r="P11" s="336">
        <v>20</v>
      </c>
      <c r="Q11" s="337">
        <v>17</v>
      </c>
      <c r="R11" s="337">
        <v>3.5</v>
      </c>
      <c r="S11" s="338">
        <f t="shared" ref="S11:S53" si="2">+P11*2.54</f>
        <v>50.8</v>
      </c>
      <c r="T11" s="338">
        <f t="shared" ref="T11:T53" si="3">+Q11*2.54</f>
        <v>43.18</v>
      </c>
      <c r="U11" s="338">
        <f t="shared" ref="U11:U53" si="4">+R11*2.54</f>
        <v>8.89</v>
      </c>
      <c r="V11" s="338" t="str">
        <f t="shared" ref="V11:V53" si="5">S11&amp;"*"&amp;T11&amp;"*"&amp;U11</f>
        <v>50.8*43.18*8.89</v>
      </c>
    </row>
    <row r="12" spans="1:231" s="338" customFormat="1" ht="30.75" customHeight="1">
      <c r="A12" s="331" t="s">
        <v>222</v>
      </c>
      <c r="B12" s="331" t="s">
        <v>231</v>
      </c>
      <c r="C12" s="331" t="s">
        <v>232</v>
      </c>
      <c r="D12" s="331">
        <v>3</v>
      </c>
      <c r="E12" s="331">
        <v>3</v>
      </c>
      <c r="F12" s="332">
        <v>24</v>
      </c>
      <c r="G12" s="332"/>
      <c r="H12" s="332"/>
      <c r="I12" s="332">
        <v>24</v>
      </c>
      <c r="J12" s="332"/>
      <c r="K12" s="332"/>
      <c r="L12" s="333">
        <v>1</v>
      </c>
      <c r="M12" s="334">
        <v>24</v>
      </c>
      <c r="N12" s="369">
        <v>3.34</v>
      </c>
      <c r="O12" s="335" t="str">
        <f t="shared" si="1"/>
        <v>50.8*43.18*8.89</v>
      </c>
      <c r="P12" s="336">
        <v>20</v>
      </c>
      <c r="Q12" s="337">
        <v>17</v>
      </c>
      <c r="R12" s="337">
        <v>3.5</v>
      </c>
      <c r="S12" s="338">
        <f t="shared" si="2"/>
        <v>50.8</v>
      </c>
      <c r="T12" s="338">
        <f t="shared" si="3"/>
        <v>43.18</v>
      </c>
      <c r="U12" s="338">
        <f t="shared" si="4"/>
        <v>8.89</v>
      </c>
      <c r="V12" s="338" t="str">
        <f t="shared" si="5"/>
        <v>50.8*43.18*8.89</v>
      </c>
    </row>
    <row r="13" spans="1:231" s="373" customFormat="1" ht="30.75" customHeight="1">
      <c r="A13" s="331" t="s">
        <v>222</v>
      </c>
      <c r="B13" s="331" t="s">
        <v>231</v>
      </c>
      <c r="C13" s="331" t="s">
        <v>232</v>
      </c>
      <c r="D13" s="331">
        <v>4</v>
      </c>
      <c r="E13" s="331">
        <v>4</v>
      </c>
      <c r="F13" s="332">
        <v>24</v>
      </c>
      <c r="G13" s="332"/>
      <c r="H13" s="332"/>
      <c r="I13" s="332"/>
      <c r="J13" s="332">
        <v>24</v>
      </c>
      <c r="K13" s="332"/>
      <c r="L13" s="333">
        <v>1</v>
      </c>
      <c r="M13" s="334">
        <v>24</v>
      </c>
      <c r="N13" s="369">
        <v>3.62</v>
      </c>
      <c r="O13" s="335" t="str">
        <f t="shared" si="1"/>
        <v>50.8*43.18*10.16</v>
      </c>
      <c r="P13" s="336">
        <v>20</v>
      </c>
      <c r="Q13" s="337">
        <v>17</v>
      </c>
      <c r="R13" s="337">
        <v>4</v>
      </c>
      <c r="S13" s="338">
        <f t="shared" si="2"/>
        <v>50.8</v>
      </c>
      <c r="T13" s="338">
        <f t="shared" si="3"/>
        <v>43.18</v>
      </c>
      <c r="U13" s="338">
        <f t="shared" si="4"/>
        <v>10.16</v>
      </c>
      <c r="V13" s="338" t="str">
        <f t="shared" si="5"/>
        <v>50.8*43.18*10.16</v>
      </c>
      <c r="W13" s="338"/>
    </row>
    <row r="14" spans="1:231" s="373" customFormat="1" ht="30.75" customHeight="1">
      <c r="A14" s="331" t="s">
        <v>222</v>
      </c>
      <c r="B14" s="331" t="s">
        <v>231</v>
      </c>
      <c r="C14" s="331" t="s">
        <v>232</v>
      </c>
      <c r="D14" s="331">
        <v>5</v>
      </c>
      <c r="E14" s="331">
        <v>5</v>
      </c>
      <c r="F14" s="332">
        <v>24</v>
      </c>
      <c r="G14" s="332"/>
      <c r="H14" s="332"/>
      <c r="I14" s="332"/>
      <c r="J14" s="332"/>
      <c r="K14" s="332">
        <v>24</v>
      </c>
      <c r="L14" s="333">
        <v>1</v>
      </c>
      <c r="M14" s="334">
        <v>24</v>
      </c>
      <c r="N14" s="369">
        <v>3.88</v>
      </c>
      <c r="O14" s="335" t="str">
        <f t="shared" si="1"/>
        <v>50.8*43.18*10.16</v>
      </c>
      <c r="P14" s="336">
        <v>20</v>
      </c>
      <c r="Q14" s="337">
        <v>17</v>
      </c>
      <c r="R14" s="337">
        <v>4</v>
      </c>
      <c r="S14" s="338">
        <f t="shared" si="2"/>
        <v>50.8</v>
      </c>
      <c r="T14" s="338">
        <f t="shared" si="3"/>
        <v>43.18</v>
      </c>
      <c r="U14" s="338">
        <f t="shared" si="4"/>
        <v>10.16</v>
      </c>
      <c r="V14" s="338" t="str">
        <f t="shared" si="5"/>
        <v>50.8*43.18*10.16</v>
      </c>
      <c r="W14" s="338"/>
    </row>
    <row r="15" spans="1:231" s="373" customFormat="1" ht="30.75" customHeight="1">
      <c r="A15" s="331"/>
      <c r="B15" s="331"/>
      <c r="C15" s="331"/>
      <c r="D15" s="331"/>
      <c r="E15" s="331"/>
      <c r="F15" s="332"/>
      <c r="G15" s="332"/>
      <c r="H15" s="332"/>
      <c r="I15" s="332"/>
      <c r="J15" s="332"/>
      <c r="K15" s="332"/>
      <c r="L15" s="339">
        <v>5</v>
      </c>
      <c r="M15" s="377">
        <v>120</v>
      </c>
      <c r="N15" s="378">
        <v>16.919999999999998</v>
      </c>
      <c r="O15" s="335"/>
      <c r="P15" s="336"/>
      <c r="Q15" s="337"/>
      <c r="R15" s="337"/>
      <c r="S15" s="338">
        <f t="shared" si="2"/>
        <v>0</v>
      </c>
      <c r="T15" s="338">
        <f t="shared" si="3"/>
        <v>0</v>
      </c>
      <c r="U15" s="338">
        <f t="shared" si="4"/>
        <v>0</v>
      </c>
      <c r="V15" s="338" t="str">
        <f t="shared" si="5"/>
        <v>0*0*0</v>
      </c>
      <c r="W15" s="338"/>
    </row>
    <row r="16" spans="1:231" s="373" customFormat="1" ht="30.75" customHeight="1">
      <c r="A16" s="331" t="s">
        <v>221</v>
      </c>
      <c r="B16" s="331" t="s">
        <v>231</v>
      </c>
      <c r="C16" s="331" t="s">
        <v>232</v>
      </c>
      <c r="D16" s="331">
        <v>6</v>
      </c>
      <c r="E16" s="331">
        <v>6</v>
      </c>
      <c r="F16" s="332">
        <v>24</v>
      </c>
      <c r="G16" s="332">
        <v>24</v>
      </c>
      <c r="H16" s="332"/>
      <c r="I16" s="332"/>
      <c r="J16" s="332"/>
      <c r="K16" s="332"/>
      <c r="L16" s="333">
        <v>1</v>
      </c>
      <c r="M16" s="334">
        <v>24</v>
      </c>
      <c r="N16" s="369">
        <v>2.46</v>
      </c>
      <c r="O16" s="335" t="str">
        <f t="shared" si="1"/>
        <v>40.64*38.1*13.97</v>
      </c>
      <c r="P16" s="336">
        <v>16</v>
      </c>
      <c r="Q16" s="337">
        <v>15</v>
      </c>
      <c r="R16" s="337">
        <v>5.5</v>
      </c>
      <c r="S16" s="338">
        <f t="shared" si="2"/>
        <v>40.64</v>
      </c>
      <c r="T16" s="338">
        <f t="shared" si="3"/>
        <v>38.1</v>
      </c>
      <c r="U16" s="338">
        <f t="shared" si="4"/>
        <v>13.97</v>
      </c>
      <c r="V16" s="338" t="str">
        <f t="shared" si="5"/>
        <v>40.64*38.1*13.97</v>
      </c>
      <c r="W16" s="338"/>
    </row>
    <row r="17" spans="1:23" s="373" customFormat="1" ht="30.75" customHeight="1">
      <c r="A17" s="331" t="s">
        <v>221</v>
      </c>
      <c r="B17" s="331" t="s">
        <v>231</v>
      </c>
      <c r="C17" s="331" t="s">
        <v>232</v>
      </c>
      <c r="D17" s="331">
        <v>7</v>
      </c>
      <c r="E17" s="331">
        <v>7</v>
      </c>
      <c r="F17" s="332">
        <v>24</v>
      </c>
      <c r="G17" s="332"/>
      <c r="H17" s="332">
        <v>24</v>
      </c>
      <c r="I17" s="332"/>
      <c r="J17" s="332"/>
      <c r="K17" s="332"/>
      <c r="L17" s="333">
        <v>1</v>
      </c>
      <c r="M17" s="334">
        <v>24</v>
      </c>
      <c r="N17" s="369">
        <v>2.6</v>
      </c>
      <c r="O17" s="335" t="str">
        <f t="shared" si="1"/>
        <v>40.64*38.1*13.97</v>
      </c>
      <c r="P17" s="336">
        <v>16</v>
      </c>
      <c r="Q17" s="337">
        <v>15</v>
      </c>
      <c r="R17" s="337">
        <v>5.5</v>
      </c>
      <c r="S17" s="338">
        <f t="shared" si="2"/>
        <v>40.64</v>
      </c>
      <c r="T17" s="338">
        <f t="shared" si="3"/>
        <v>38.1</v>
      </c>
      <c r="U17" s="338">
        <f t="shared" si="4"/>
        <v>13.97</v>
      </c>
      <c r="V17" s="338" t="str">
        <f t="shared" si="5"/>
        <v>40.64*38.1*13.97</v>
      </c>
      <c r="W17" s="338"/>
    </row>
    <row r="18" spans="1:23" s="373" customFormat="1" ht="30.75" customHeight="1">
      <c r="A18" s="331" t="s">
        <v>221</v>
      </c>
      <c r="B18" s="331" t="s">
        <v>231</v>
      </c>
      <c r="C18" s="331" t="s">
        <v>232</v>
      </c>
      <c r="D18" s="331">
        <v>8</v>
      </c>
      <c r="E18" s="331">
        <v>8</v>
      </c>
      <c r="F18" s="332">
        <v>24</v>
      </c>
      <c r="G18" s="332"/>
      <c r="H18" s="332"/>
      <c r="I18" s="332">
        <v>24</v>
      </c>
      <c r="J18" s="332"/>
      <c r="K18" s="332"/>
      <c r="L18" s="333">
        <v>1</v>
      </c>
      <c r="M18" s="334">
        <v>24</v>
      </c>
      <c r="N18" s="369">
        <v>2.76</v>
      </c>
      <c r="O18" s="335" t="str">
        <f t="shared" si="1"/>
        <v>40.64*38.1*13.97</v>
      </c>
      <c r="P18" s="336">
        <v>16</v>
      </c>
      <c r="Q18" s="337">
        <v>15</v>
      </c>
      <c r="R18" s="337">
        <v>5.5</v>
      </c>
      <c r="S18" s="338">
        <f t="shared" si="2"/>
        <v>40.64</v>
      </c>
      <c r="T18" s="338">
        <f t="shared" si="3"/>
        <v>38.1</v>
      </c>
      <c r="U18" s="338">
        <f t="shared" si="4"/>
        <v>13.97</v>
      </c>
      <c r="V18" s="338" t="str">
        <f t="shared" si="5"/>
        <v>40.64*38.1*13.97</v>
      </c>
      <c r="W18" s="338"/>
    </row>
    <row r="19" spans="1:23" s="373" customFormat="1" ht="30.75" customHeight="1">
      <c r="A19" s="331" t="s">
        <v>221</v>
      </c>
      <c r="B19" s="331" t="s">
        <v>231</v>
      </c>
      <c r="C19" s="331" t="s">
        <v>232</v>
      </c>
      <c r="D19" s="331">
        <v>9</v>
      </c>
      <c r="E19" s="331">
        <v>9</v>
      </c>
      <c r="F19" s="332">
        <v>24</v>
      </c>
      <c r="G19" s="332"/>
      <c r="H19" s="332"/>
      <c r="I19" s="332"/>
      <c r="J19" s="332">
        <v>24</v>
      </c>
      <c r="K19" s="332"/>
      <c r="L19" s="333">
        <v>1</v>
      </c>
      <c r="M19" s="334">
        <v>24</v>
      </c>
      <c r="N19" s="369">
        <v>2.94</v>
      </c>
      <c r="O19" s="335" t="str">
        <f t="shared" si="1"/>
        <v>40.64*38.1*13.97</v>
      </c>
      <c r="P19" s="336">
        <v>16</v>
      </c>
      <c r="Q19" s="337">
        <v>15</v>
      </c>
      <c r="R19" s="337">
        <v>5.5</v>
      </c>
      <c r="S19" s="338">
        <f t="shared" si="2"/>
        <v>40.64</v>
      </c>
      <c r="T19" s="338">
        <f t="shared" si="3"/>
        <v>38.1</v>
      </c>
      <c r="U19" s="338">
        <f t="shared" si="4"/>
        <v>13.97</v>
      </c>
      <c r="V19" s="338" t="str">
        <f t="shared" si="5"/>
        <v>40.64*38.1*13.97</v>
      </c>
      <c r="W19" s="338"/>
    </row>
    <row r="20" spans="1:23" s="373" customFormat="1" ht="30.75" customHeight="1">
      <c r="A20" s="331" t="s">
        <v>221</v>
      </c>
      <c r="B20" s="331" t="s">
        <v>231</v>
      </c>
      <c r="C20" s="331" t="s">
        <v>232</v>
      </c>
      <c r="D20" s="331">
        <v>10</v>
      </c>
      <c r="E20" s="331">
        <v>10</v>
      </c>
      <c r="F20" s="332">
        <v>24</v>
      </c>
      <c r="G20" s="332"/>
      <c r="H20" s="332"/>
      <c r="I20" s="332"/>
      <c r="J20" s="332"/>
      <c r="K20" s="332">
        <v>24</v>
      </c>
      <c r="L20" s="333">
        <v>1</v>
      </c>
      <c r="M20" s="334">
        <v>24</v>
      </c>
      <c r="N20" s="369">
        <v>3.18</v>
      </c>
      <c r="O20" s="335" t="str">
        <f t="shared" si="1"/>
        <v>40.64*38.1*13.97</v>
      </c>
      <c r="P20" s="336">
        <v>16</v>
      </c>
      <c r="Q20" s="337">
        <v>15</v>
      </c>
      <c r="R20" s="337">
        <v>5.5</v>
      </c>
      <c r="S20" s="338">
        <f t="shared" si="2"/>
        <v>40.64</v>
      </c>
      <c r="T20" s="338">
        <f t="shared" si="3"/>
        <v>38.1</v>
      </c>
      <c r="U20" s="338">
        <f t="shared" si="4"/>
        <v>13.97</v>
      </c>
      <c r="V20" s="338" t="str">
        <f t="shared" si="5"/>
        <v>40.64*38.1*13.97</v>
      </c>
      <c r="W20" s="338"/>
    </row>
    <row r="21" spans="1:23" s="373" customFormat="1" ht="30.75" customHeight="1">
      <c r="A21" s="331"/>
      <c r="B21" s="331"/>
      <c r="C21" s="331"/>
      <c r="D21" s="331"/>
      <c r="E21" s="331"/>
      <c r="F21" s="332"/>
      <c r="G21" s="332"/>
      <c r="H21" s="332"/>
      <c r="I21" s="332"/>
      <c r="J21" s="332"/>
      <c r="K21" s="332"/>
      <c r="L21" s="339">
        <v>5</v>
      </c>
      <c r="M21" s="377">
        <v>120</v>
      </c>
      <c r="N21" s="378">
        <v>13.94</v>
      </c>
      <c r="O21" s="335"/>
      <c r="P21" s="336"/>
      <c r="Q21" s="337"/>
      <c r="R21" s="337"/>
      <c r="S21" s="338">
        <f t="shared" si="2"/>
        <v>0</v>
      </c>
      <c r="T21" s="338">
        <f t="shared" si="3"/>
        <v>0</v>
      </c>
      <c r="U21" s="338">
        <f t="shared" si="4"/>
        <v>0</v>
      </c>
      <c r="V21" s="338" t="str">
        <f t="shared" si="5"/>
        <v>0*0*0</v>
      </c>
      <c r="W21" s="338"/>
    </row>
    <row r="22" spans="1:23" s="373" customFormat="1" ht="30.75" customHeight="1">
      <c r="A22" s="331" t="s">
        <v>227</v>
      </c>
      <c r="B22" s="331" t="s">
        <v>231</v>
      </c>
      <c r="C22" s="331" t="s">
        <v>232</v>
      </c>
      <c r="D22" s="331">
        <v>11</v>
      </c>
      <c r="E22" s="331">
        <v>11</v>
      </c>
      <c r="F22" s="332">
        <v>36</v>
      </c>
      <c r="G22" s="332"/>
      <c r="H22" s="332">
        <v>36</v>
      </c>
      <c r="I22" s="332"/>
      <c r="J22" s="332"/>
      <c r="K22" s="332"/>
      <c r="L22" s="333">
        <v>1</v>
      </c>
      <c r="M22" s="334">
        <v>36</v>
      </c>
      <c r="N22" s="369">
        <v>6.02</v>
      </c>
      <c r="O22" s="335" t="str">
        <f t="shared" si="1"/>
        <v>50.8*43.18*13.97</v>
      </c>
      <c r="P22" s="336">
        <v>20</v>
      </c>
      <c r="Q22" s="337">
        <v>17</v>
      </c>
      <c r="R22" s="337">
        <v>5.5</v>
      </c>
      <c r="S22" s="338">
        <f t="shared" si="2"/>
        <v>50.8</v>
      </c>
      <c r="T22" s="338">
        <f t="shared" si="3"/>
        <v>43.18</v>
      </c>
      <c r="U22" s="338">
        <f t="shared" si="4"/>
        <v>13.97</v>
      </c>
      <c r="V22" s="338" t="str">
        <f t="shared" si="5"/>
        <v>50.8*43.18*13.97</v>
      </c>
      <c r="W22" s="338"/>
    </row>
    <row r="23" spans="1:23" s="373" customFormat="1" ht="30.75" customHeight="1">
      <c r="A23" s="331" t="s">
        <v>227</v>
      </c>
      <c r="B23" s="331" t="s">
        <v>231</v>
      </c>
      <c r="C23" s="331" t="s">
        <v>232</v>
      </c>
      <c r="D23" s="331">
        <v>12</v>
      </c>
      <c r="E23" s="331">
        <v>12</v>
      </c>
      <c r="F23" s="332">
        <v>36</v>
      </c>
      <c r="G23" s="332"/>
      <c r="H23" s="332"/>
      <c r="I23" s="332">
        <v>36</v>
      </c>
      <c r="J23" s="332"/>
      <c r="K23" s="332"/>
      <c r="L23" s="333">
        <v>1</v>
      </c>
      <c r="M23" s="334">
        <v>36</v>
      </c>
      <c r="N23" s="369">
        <v>6.32</v>
      </c>
      <c r="O23" s="335" t="str">
        <f t="shared" si="1"/>
        <v>50.8*43.18*13.97</v>
      </c>
      <c r="P23" s="336">
        <v>20</v>
      </c>
      <c r="Q23" s="337">
        <v>17</v>
      </c>
      <c r="R23" s="337">
        <v>5.5</v>
      </c>
      <c r="S23" s="338">
        <f t="shared" si="2"/>
        <v>50.8</v>
      </c>
      <c r="T23" s="338">
        <f t="shared" si="3"/>
        <v>43.18</v>
      </c>
      <c r="U23" s="338">
        <f t="shared" si="4"/>
        <v>13.97</v>
      </c>
      <c r="V23" s="338" t="str">
        <f t="shared" si="5"/>
        <v>50.8*43.18*13.97</v>
      </c>
      <c r="W23" s="338"/>
    </row>
    <row r="24" spans="1:23" s="373" customFormat="1" ht="30.75" customHeight="1">
      <c r="A24" s="331" t="s">
        <v>227</v>
      </c>
      <c r="B24" s="331" t="s">
        <v>231</v>
      </c>
      <c r="C24" s="331" t="s">
        <v>232</v>
      </c>
      <c r="D24" s="331">
        <v>13</v>
      </c>
      <c r="E24" s="331">
        <v>13</v>
      </c>
      <c r="F24" s="332">
        <v>24</v>
      </c>
      <c r="G24" s="332">
        <v>24</v>
      </c>
      <c r="H24" s="332"/>
      <c r="I24" s="332"/>
      <c r="J24" s="332"/>
      <c r="K24" s="332"/>
      <c r="L24" s="333">
        <v>1</v>
      </c>
      <c r="M24" s="334">
        <v>24</v>
      </c>
      <c r="N24" s="369">
        <v>3.85</v>
      </c>
      <c r="O24" s="335" t="str">
        <f t="shared" si="1"/>
        <v>50.8*43.18*10.16</v>
      </c>
      <c r="P24" s="336">
        <v>20</v>
      </c>
      <c r="Q24" s="337">
        <v>17</v>
      </c>
      <c r="R24" s="337">
        <v>4</v>
      </c>
      <c r="S24" s="338">
        <f t="shared" si="2"/>
        <v>50.8</v>
      </c>
      <c r="T24" s="338">
        <f t="shared" si="3"/>
        <v>43.18</v>
      </c>
      <c r="U24" s="338">
        <f t="shared" si="4"/>
        <v>10.16</v>
      </c>
      <c r="V24" s="338" t="str">
        <f t="shared" si="5"/>
        <v>50.8*43.18*10.16</v>
      </c>
      <c r="W24" s="338"/>
    </row>
    <row r="25" spans="1:23" s="373" customFormat="1" ht="30.75" customHeight="1">
      <c r="A25" s="331" t="s">
        <v>227</v>
      </c>
      <c r="B25" s="331" t="s">
        <v>231</v>
      </c>
      <c r="C25" s="331" t="s">
        <v>232</v>
      </c>
      <c r="D25" s="331">
        <v>14</v>
      </c>
      <c r="E25" s="331">
        <v>14</v>
      </c>
      <c r="F25" s="332">
        <v>12</v>
      </c>
      <c r="G25" s="332"/>
      <c r="H25" s="332">
        <v>12</v>
      </c>
      <c r="I25" s="332"/>
      <c r="J25" s="332"/>
      <c r="K25" s="332"/>
      <c r="L25" s="333">
        <v>1</v>
      </c>
      <c r="M25" s="334">
        <v>12</v>
      </c>
      <c r="N25" s="369">
        <v>2.06</v>
      </c>
      <c r="O25" s="335" t="str">
        <f t="shared" si="1"/>
        <v>43.18*25.4*8.89</v>
      </c>
      <c r="P25" s="336">
        <v>17</v>
      </c>
      <c r="Q25" s="337">
        <v>10</v>
      </c>
      <c r="R25" s="337">
        <v>3.5</v>
      </c>
      <c r="S25" s="338">
        <f t="shared" si="2"/>
        <v>43.18</v>
      </c>
      <c r="T25" s="338">
        <f t="shared" si="3"/>
        <v>25.4</v>
      </c>
      <c r="U25" s="338">
        <f t="shared" si="4"/>
        <v>8.89</v>
      </c>
      <c r="V25" s="338" t="str">
        <f t="shared" si="5"/>
        <v>43.18*25.4*8.89</v>
      </c>
      <c r="W25" s="338"/>
    </row>
    <row r="26" spans="1:23" s="373" customFormat="1" ht="30.75" customHeight="1">
      <c r="A26" s="331" t="s">
        <v>227</v>
      </c>
      <c r="B26" s="331" t="s">
        <v>231</v>
      </c>
      <c r="C26" s="331" t="s">
        <v>232</v>
      </c>
      <c r="D26" s="331">
        <v>15</v>
      </c>
      <c r="E26" s="331">
        <v>15</v>
      </c>
      <c r="F26" s="332">
        <v>12</v>
      </c>
      <c r="G26" s="332"/>
      <c r="H26" s="332"/>
      <c r="I26" s="332">
        <v>12</v>
      </c>
      <c r="J26" s="332"/>
      <c r="K26" s="332"/>
      <c r="L26" s="333">
        <v>1</v>
      </c>
      <c r="M26" s="334">
        <v>12</v>
      </c>
      <c r="N26" s="369">
        <v>2.16</v>
      </c>
      <c r="O26" s="335" t="str">
        <f t="shared" si="1"/>
        <v>43.18*25.4*8.89</v>
      </c>
      <c r="P26" s="336">
        <v>17</v>
      </c>
      <c r="Q26" s="337">
        <v>10</v>
      </c>
      <c r="R26" s="337">
        <v>3.5</v>
      </c>
      <c r="S26" s="338">
        <f t="shared" si="2"/>
        <v>43.18</v>
      </c>
      <c r="T26" s="338">
        <f t="shared" si="3"/>
        <v>25.4</v>
      </c>
      <c r="U26" s="338">
        <f t="shared" si="4"/>
        <v>8.89</v>
      </c>
      <c r="V26" s="338" t="str">
        <f t="shared" si="5"/>
        <v>43.18*25.4*8.89</v>
      </c>
      <c r="W26" s="338"/>
    </row>
    <row r="27" spans="1:23" s="373" customFormat="1" ht="30.75" customHeight="1">
      <c r="A27" s="331" t="s">
        <v>227</v>
      </c>
      <c r="B27" s="331" t="s">
        <v>231</v>
      </c>
      <c r="C27" s="331" t="s">
        <v>232</v>
      </c>
      <c r="D27" s="331">
        <v>16</v>
      </c>
      <c r="E27" s="331">
        <v>16</v>
      </c>
      <c r="F27" s="332">
        <v>24</v>
      </c>
      <c r="G27" s="332"/>
      <c r="H27" s="332"/>
      <c r="I27" s="332"/>
      <c r="J27" s="332">
        <v>24</v>
      </c>
      <c r="K27" s="332"/>
      <c r="L27" s="333">
        <v>1</v>
      </c>
      <c r="M27" s="334">
        <v>24</v>
      </c>
      <c r="N27" s="369">
        <v>4.84</v>
      </c>
      <c r="O27" s="335" t="str">
        <f t="shared" si="1"/>
        <v>50.8*43.18*11.43</v>
      </c>
      <c r="P27" s="336">
        <v>20</v>
      </c>
      <c r="Q27" s="337">
        <v>17</v>
      </c>
      <c r="R27" s="337">
        <v>4.5</v>
      </c>
      <c r="S27" s="338">
        <f t="shared" si="2"/>
        <v>50.8</v>
      </c>
      <c r="T27" s="338">
        <f t="shared" si="3"/>
        <v>43.18</v>
      </c>
      <c r="U27" s="338">
        <f t="shared" si="4"/>
        <v>11.43</v>
      </c>
      <c r="V27" s="338" t="str">
        <f t="shared" si="5"/>
        <v>50.8*43.18*11.43</v>
      </c>
      <c r="W27" s="338"/>
    </row>
    <row r="28" spans="1:23" s="373" customFormat="1" ht="30.75" customHeight="1">
      <c r="A28" s="331" t="s">
        <v>227</v>
      </c>
      <c r="B28" s="331" t="s">
        <v>231</v>
      </c>
      <c r="C28" s="331" t="s">
        <v>232</v>
      </c>
      <c r="D28" s="331">
        <v>17</v>
      </c>
      <c r="E28" s="331">
        <v>17</v>
      </c>
      <c r="F28" s="332">
        <v>24</v>
      </c>
      <c r="G28" s="332"/>
      <c r="H28" s="332"/>
      <c r="I28" s="332"/>
      <c r="J28" s="332"/>
      <c r="K28" s="332">
        <v>24</v>
      </c>
      <c r="L28" s="333">
        <v>1</v>
      </c>
      <c r="M28" s="334">
        <v>24</v>
      </c>
      <c r="N28" s="369">
        <v>5.04</v>
      </c>
      <c r="O28" s="335" t="str">
        <f t="shared" si="1"/>
        <v>50.8*43.18*11.43</v>
      </c>
      <c r="P28" s="336">
        <v>20</v>
      </c>
      <c r="Q28" s="337">
        <v>17</v>
      </c>
      <c r="R28" s="337">
        <v>4.5</v>
      </c>
      <c r="S28" s="338">
        <f t="shared" si="2"/>
        <v>50.8</v>
      </c>
      <c r="T28" s="338">
        <f t="shared" si="3"/>
        <v>43.18</v>
      </c>
      <c r="U28" s="338">
        <f t="shared" si="4"/>
        <v>11.43</v>
      </c>
      <c r="V28" s="338" t="str">
        <f t="shared" si="5"/>
        <v>50.8*43.18*11.43</v>
      </c>
      <c r="W28" s="338"/>
    </row>
    <row r="29" spans="1:23" s="373" customFormat="1" ht="30.75" customHeight="1">
      <c r="A29" s="331"/>
      <c r="B29" s="331"/>
      <c r="C29" s="331"/>
      <c r="D29" s="331"/>
      <c r="E29" s="331"/>
      <c r="F29" s="332"/>
      <c r="G29" s="332"/>
      <c r="H29" s="332"/>
      <c r="I29" s="332"/>
      <c r="J29" s="332"/>
      <c r="K29" s="332"/>
      <c r="L29" s="339">
        <v>7</v>
      </c>
      <c r="M29" s="377">
        <v>168</v>
      </c>
      <c r="N29" s="378">
        <v>30.29</v>
      </c>
      <c r="O29" s="335"/>
      <c r="P29" s="336"/>
      <c r="Q29" s="337"/>
      <c r="R29" s="337"/>
      <c r="S29" s="338">
        <f t="shared" si="2"/>
        <v>0</v>
      </c>
      <c r="T29" s="338">
        <f t="shared" si="3"/>
        <v>0</v>
      </c>
      <c r="U29" s="338">
        <f t="shared" si="4"/>
        <v>0</v>
      </c>
      <c r="V29" s="338" t="str">
        <f t="shared" si="5"/>
        <v>0*0*0</v>
      </c>
      <c r="W29" s="338"/>
    </row>
    <row r="30" spans="1:23" s="373" customFormat="1" ht="30.75" customHeight="1">
      <c r="A30" s="331" t="s">
        <v>228</v>
      </c>
      <c r="B30" s="331" t="s">
        <v>267</v>
      </c>
      <c r="C30" s="331" t="s">
        <v>268</v>
      </c>
      <c r="D30" s="331">
        <v>18</v>
      </c>
      <c r="E30" s="331">
        <v>18</v>
      </c>
      <c r="F30" s="332">
        <v>24</v>
      </c>
      <c r="G30" s="332">
        <v>24</v>
      </c>
      <c r="H30" s="332"/>
      <c r="I30" s="332"/>
      <c r="J30" s="332"/>
      <c r="K30" s="332"/>
      <c r="L30" s="333">
        <v>1</v>
      </c>
      <c r="M30" s="334">
        <v>24</v>
      </c>
      <c r="N30" s="369">
        <v>4.3</v>
      </c>
      <c r="O30" s="335" t="str">
        <f t="shared" si="1"/>
        <v>40.64*35.56*17.78</v>
      </c>
      <c r="P30" s="336">
        <v>16</v>
      </c>
      <c r="Q30" s="337">
        <v>14</v>
      </c>
      <c r="R30" s="337">
        <v>7</v>
      </c>
      <c r="S30" s="338">
        <f t="shared" si="2"/>
        <v>40.64</v>
      </c>
      <c r="T30" s="338">
        <f t="shared" si="3"/>
        <v>35.56</v>
      </c>
      <c r="U30" s="338">
        <f t="shared" si="4"/>
        <v>17.78</v>
      </c>
      <c r="V30" s="338" t="str">
        <f t="shared" si="5"/>
        <v>40.64*35.56*17.78</v>
      </c>
      <c r="W30" s="338"/>
    </row>
    <row r="31" spans="1:23" s="373" customFormat="1" ht="30.75" customHeight="1">
      <c r="A31" s="331" t="s">
        <v>228</v>
      </c>
      <c r="B31" s="331" t="s">
        <v>267</v>
      </c>
      <c r="C31" s="331" t="s">
        <v>268</v>
      </c>
      <c r="D31" s="331">
        <v>19</v>
      </c>
      <c r="E31" s="331">
        <v>19</v>
      </c>
      <c r="F31" s="332">
        <v>24</v>
      </c>
      <c r="G31" s="332"/>
      <c r="H31" s="332">
        <v>24</v>
      </c>
      <c r="I31" s="332"/>
      <c r="J31" s="332"/>
      <c r="K31" s="332"/>
      <c r="L31" s="333">
        <v>1</v>
      </c>
      <c r="M31" s="334">
        <v>24</v>
      </c>
      <c r="N31" s="369">
        <v>4.5</v>
      </c>
      <c r="O31" s="335" t="str">
        <f t="shared" si="1"/>
        <v>40.64*35.56*17.78</v>
      </c>
      <c r="P31" s="336">
        <v>16</v>
      </c>
      <c r="Q31" s="337">
        <v>14</v>
      </c>
      <c r="R31" s="337">
        <v>7</v>
      </c>
      <c r="S31" s="338">
        <f t="shared" si="2"/>
        <v>40.64</v>
      </c>
      <c r="T31" s="338">
        <f t="shared" si="3"/>
        <v>35.56</v>
      </c>
      <c r="U31" s="338">
        <f t="shared" si="4"/>
        <v>17.78</v>
      </c>
      <c r="V31" s="338" t="str">
        <f t="shared" si="5"/>
        <v>40.64*35.56*17.78</v>
      </c>
      <c r="W31" s="338"/>
    </row>
    <row r="32" spans="1:23" s="373" customFormat="1" ht="30.75" customHeight="1">
      <c r="A32" s="331" t="s">
        <v>228</v>
      </c>
      <c r="B32" s="331" t="s">
        <v>267</v>
      </c>
      <c r="C32" s="331" t="s">
        <v>268</v>
      </c>
      <c r="D32" s="331">
        <v>20</v>
      </c>
      <c r="E32" s="331">
        <v>20</v>
      </c>
      <c r="F32" s="332">
        <v>24</v>
      </c>
      <c r="G32" s="332"/>
      <c r="H32" s="332"/>
      <c r="I32" s="332">
        <v>24</v>
      </c>
      <c r="J32" s="332"/>
      <c r="K32" s="332"/>
      <c r="L32" s="333">
        <v>1</v>
      </c>
      <c r="M32" s="334">
        <v>24</v>
      </c>
      <c r="N32" s="369">
        <v>4.8600000000000003</v>
      </c>
      <c r="O32" s="335" t="str">
        <f t="shared" si="1"/>
        <v>40.64*35.56*17.78</v>
      </c>
      <c r="P32" s="336">
        <v>16</v>
      </c>
      <c r="Q32" s="337">
        <v>14</v>
      </c>
      <c r="R32" s="337">
        <v>7</v>
      </c>
      <c r="S32" s="338">
        <f t="shared" si="2"/>
        <v>40.64</v>
      </c>
      <c r="T32" s="338">
        <f t="shared" si="3"/>
        <v>35.56</v>
      </c>
      <c r="U32" s="338">
        <f t="shared" si="4"/>
        <v>17.78</v>
      </c>
      <c r="V32" s="338" t="str">
        <f t="shared" si="5"/>
        <v>40.64*35.56*17.78</v>
      </c>
      <c r="W32" s="338"/>
    </row>
    <row r="33" spans="1:23" s="373" customFormat="1" ht="30.75" customHeight="1">
      <c r="A33" s="331" t="s">
        <v>228</v>
      </c>
      <c r="B33" s="331" t="s">
        <v>267</v>
      </c>
      <c r="C33" s="331" t="s">
        <v>268</v>
      </c>
      <c r="D33" s="331">
        <v>21</v>
      </c>
      <c r="E33" s="331">
        <v>21</v>
      </c>
      <c r="F33" s="332">
        <v>24</v>
      </c>
      <c r="G33" s="332"/>
      <c r="H33" s="332"/>
      <c r="I33" s="332"/>
      <c r="J33" s="332">
        <v>24</v>
      </c>
      <c r="K33" s="332"/>
      <c r="L33" s="333">
        <v>1</v>
      </c>
      <c r="M33" s="334">
        <v>24</v>
      </c>
      <c r="N33" s="369">
        <v>5.0599999999999996</v>
      </c>
      <c r="O33" s="335" t="str">
        <f t="shared" si="1"/>
        <v>45.72*40.64*20.32</v>
      </c>
      <c r="P33" s="336">
        <v>18</v>
      </c>
      <c r="Q33" s="337">
        <v>16</v>
      </c>
      <c r="R33" s="337">
        <v>8</v>
      </c>
      <c r="S33" s="338">
        <f t="shared" si="2"/>
        <v>45.72</v>
      </c>
      <c r="T33" s="338">
        <f t="shared" si="3"/>
        <v>40.64</v>
      </c>
      <c r="U33" s="338">
        <f t="shared" si="4"/>
        <v>20.32</v>
      </c>
      <c r="V33" s="338" t="str">
        <f t="shared" si="5"/>
        <v>45.72*40.64*20.32</v>
      </c>
      <c r="W33" s="338"/>
    </row>
    <row r="34" spans="1:23" s="373" customFormat="1" ht="30.75" customHeight="1">
      <c r="A34" s="331" t="s">
        <v>228</v>
      </c>
      <c r="B34" s="331" t="s">
        <v>267</v>
      </c>
      <c r="C34" s="331" t="s">
        <v>268</v>
      </c>
      <c r="D34" s="331">
        <v>22</v>
      </c>
      <c r="E34" s="331">
        <v>22</v>
      </c>
      <c r="F34" s="332">
        <v>24</v>
      </c>
      <c r="G34" s="332"/>
      <c r="H34" s="332"/>
      <c r="I34" s="332"/>
      <c r="J34" s="332"/>
      <c r="K34" s="332">
        <v>24</v>
      </c>
      <c r="L34" s="333">
        <v>1</v>
      </c>
      <c r="M34" s="334">
        <v>24</v>
      </c>
      <c r="N34" s="369">
        <v>5.26</v>
      </c>
      <c r="O34" s="335" t="str">
        <f t="shared" si="1"/>
        <v>45.72*40.64*20.32</v>
      </c>
      <c r="P34" s="336">
        <v>18</v>
      </c>
      <c r="Q34" s="337">
        <v>16</v>
      </c>
      <c r="R34" s="337">
        <v>8</v>
      </c>
      <c r="S34" s="338">
        <f t="shared" si="2"/>
        <v>45.72</v>
      </c>
      <c r="T34" s="338">
        <f t="shared" si="3"/>
        <v>40.64</v>
      </c>
      <c r="U34" s="338">
        <f t="shared" si="4"/>
        <v>20.32</v>
      </c>
      <c r="V34" s="338" t="str">
        <f t="shared" si="5"/>
        <v>45.72*40.64*20.32</v>
      </c>
      <c r="W34" s="338"/>
    </row>
    <row r="35" spans="1:23" s="373" customFormat="1" ht="30.75" customHeight="1">
      <c r="A35" s="331"/>
      <c r="B35" s="331"/>
      <c r="C35" s="331"/>
      <c r="D35" s="331"/>
      <c r="E35" s="331"/>
      <c r="F35" s="332"/>
      <c r="G35" s="332"/>
      <c r="H35" s="332"/>
      <c r="I35" s="332"/>
      <c r="J35" s="332"/>
      <c r="K35" s="332"/>
      <c r="L35" s="339">
        <v>5</v>
      </c>
      <c r="M35" s="377">
        <v>120</v>
      </c>
      <c r="N35" s="378">
        <v>23.979999999999997</v>
      </c>
      <c r="O35" s="335"/>
      <c r="P35" s="336"/>
      <c r="Q35" s="337"/>
      <c r="R35" s="337"/>
      <c r="S35" s="338">
        <f t="shared" si="2"/>
        <v>0</v>
      </c>
      <c r="T35" s="338">
        <f t="shared" si="3"/>
        <v>0</v>
      </c>
      <c r="U35" s="338">
        <f t="shared" si="4"/>
        <v>0</v>
      </c>
      <c r="V35" s="338" t="str">
        <f t="shared" si="5"/>
        <v>0*0*0</v>
      </c>
      <c r="W35" s="338"/>
    </row>
    <row r="36" spans="1:23" s="373" customFormat="1" ht="30.75" customHeight="1">
      <c r="A36" s="331" t="s">
        <v>228</v>
      </c>
      <c r="B36" s="331" t="s">
        <v>257</v>
      </c>
      <c r="C36" s="331" t="s">
        <v>258</v>
      </c>
      <c r="D36" s="331">
        <v>23</v>
      </c>
      <c r="E36" s="331">
        <v>23</v>
      </c>
      <c r="F36" s="332">
        <v>24</v>
      </c>
      <c r="G36" s="332">
        <v>24</v>
      </c>
      <c r="H36" s="332"/>
      <c r="I36" s="332"/>
      <c r="J36" s="332"/>
      <c r="K36" s="332"/>
      <c r="L36" s="333">
        <v>1</v>
      </c>
      <c r="M36" s="334">
        <v>24</v>
      </c>
      <c r="N36" s="369">
        <v>4.3</v>
      </c>
      <c r="O36" s="335" t="str">
        <f t="shared" si="1"/>
        <v>40.64*35.56*17.78</v>
      </c>
      <c r="P36" s="336">
        <v>16</v>
      </c>
      <c r="Q36" s="337">
        <v>14</v>
      </c>
      <c r="R36" s="337">
        <v>7</v>
      </c>
      <c r="S36" s="338">
        <f t="shared" si="2"/>
        <v>40.64</v>
      </c>
      <c r="T36" s="338">
        <f t="shared" si="3"/>
        <v>35.56</v>
      </c>
      <c r="U36" s="338">
        <f t="shared" si="4"/>
        <v>17.78</v>
      </c>
      <c r="V36" s="338" t="str">
        <f t="shared" si="5"/>
        <v>40.64*35.56*17.78</v>
      </c>
      <c r="W36" s="338"/>
    </row>
    <row r="37" spans="1:23" s="373" customFormat="1" ht="30.75" customHeight="1">
      <c r="A37" s="331" t="s">
        <v>228</v>
      </c>
      <c r="B37" s="331" t="s">
        <v>257</v>
      </c>
      <c r="C37" s="331" t="s">
        <v>258</v>
      </c>
      <c r="D37" s="331">
        <v>24</v>
      </c>
      <c r="E37" s="331">
        <v>24</v>
      </c>
      <c r="F37" s="332">
        <v>24</v>
      </c>
      <c r="G37" s="332"/>
      <c r="H37" s="332">
        <v>24</v>
      </c>
      <c r="I37" s="332"/>
      <c r="J37" s="332"/>
      <c r="K37" s="332"/>
      <c r="L37" s="333">
        <v>1</v>
      </c>
      <c r="M37" s="334">
        <v>24</v>
      </c>
      <c r="N37" s="369">
        <v>4.5</v>
      </c>
      <c r="O37" s="335" t="str">
        <f t="shared" si="1"/>
        <v>40.64*35.56*17.78</v>
      </c>
      <c r="P37" s="336">
        <v>16</v>
      </c>
      <c r="Q37" s="337">
        <v>14</v>
      </c>
      <c r="R37" s="337">
        <v>7</v>
      </c>
      <c r="S37" s="338">
        <f t="shared" si="2"/>
        <v>40.64</v>
      </c>
      <c r="T37" s="338">
        <f t="shared" si="3"/>
        <v>35.56</v>
      </c>
      <c r="U37" s="338">
        <f t="shared" si="4"/>
        <v>17.78</v>
      </c>
      <c r="V37" s="338" t="str">
        <f t="shared" si="5"/>
        <v>40.64*35.56*17.78</v>
      </c>
      <c r="W37" s="338"/>
    </row>
    <row r="38" spans="1:23" s="373" customFormat="1" ht="30.75" customHeight="1">
      <c r="A38" s="331" t="s">
        <v>228</v>
      </c>
      <c r="B38" s="331" t="s">
        <v>257</v>
      </c>
      <c r="C38" s="331" t="s">
        <v>258</v>
      </c>
      <c r="D38" s="331">
        <v>25</v>
      </c>
      <c r="E38" s="331">
        <v>25</v>
      </c>
      <c r="F38" s="332">
        <v>24</v>
      </c>
      <c r="G38" s="332"/>
      <c r="H38" s="332"/>
      <c r="I38" s="332">
        <v>24</v>
      </c>
      <c r="J38" s="332"/>
      <c r="K38" s="332"/>
      <c r="L38" s="333">
        <v>1</v>
      </c>
      <c r="M38" s="334">
        <v>24</v>
      </c>
      <c r="N38" s="369">
        <v>4.8600000000000003</v>
      </c>
      <c r="O38" s="335" t="str">
        <f t="shared" si="1"/>
        <v>40.64*35.56*17.78</v>
      </c>
      <c r="P38" s="336">
        <v>16</v>
      </c>
      <c r="Q38" s="337">
        <v>14</v>
      </c>
      <c r="R38" s="337">
        <v>7</v>
      </c>
      <c r="S38" s="338">
        <f t="shared" si="2"/>
        <v>40.64</v>
      </c>
      <c r="T38" s="338">
        <f t="shared" si="3"/>
        <v>35.56</v>
      </c>
      <c r="U38" s="338">
        <f t="shared" si="4"/>
        <v>17.78</v>
      </c>
      <c r="V38" s="338" t="str">
        <f t="shared" si="5"/>
        <v>40.64*35.56*17.78</v>
      </c>
      <c r="W38" s="338"/>
    </row>
    <row r="39" spans="1:23" s="373" customFormat="1" ht="30.75" customHeight="1">
      <c r="A39" s="331" t="s">
        <v>228</v>
      </c>
      <c r="B39" s="331" t="s">
        <v>257</v>
      </c>
      <c r="C39" s="331" t="s">
        <v>258</v>
      </c>
      <c r="D39" s="331">
        <v>26</v>
      </c>
      <c r="E39" s="331">
        <v>26</v>
      </c>
      <c r="F39" s="332">
        <v>24</v>
      </c>
      <c r="G39" s="332"/>
      <c r="H39" s="332"/>
      <c r="I39" s="332"/>
      <c r="J39" s="332">
        <v>24</v>
      </c>
      <c r="K39" s="332"/>
      <c r="L39" s="333">
        <v>1</v>
      </c>
      <c r="M39" s="334">
        <v>24</v>
      </c>
      <c r="N39" s="369">
        <v>5.0599999999999996</v>
      </c>
      <c r="O39" s="335" t="str">
        <f t="shared" si="1"/>
        <v>45.72*40.64*20.32</v>
      </c>
      <c r="P39" s="336">
        <v>18</v>
      </c>
      <c r="Q39" s="337">
        <v>16</v>
      </c>
      <c r="R39" s="337">
        <v>8</v>
      </c>
      <c r="S39" s="338">
        <f t="shared" si="2"/>
        <v>45.72</v>
      </c>
      <c r="T39" s="338">
        <f t="shared" si="3"/>
        <v>40.64</v>
      </c>
      <c r="U39" s="338">
        <f t="shared" si="4"/>
        <v>20.32</v>
      </c>
      <c r="V39" s="338" t="str">
        <f t="shared" si="5"/>
        <v>45.72*40.64*20.32</v>
      </c>
      <c r="W39" s="338"/>
    </row>
    <row r="40" spans="1:23" s="373" customFormat="1" ht="30.75" customHeight="1">
      <c r="A40" s="331" t="s">
        <v>228</v>
      </c>
      <c r="B40" s="331" t="s">
        <v>257</v>
      </c>
      <c r="C40" s="331" t="s">
        <v>258</v>
      </c>
      <c r="D40" s="331">
        <v>27</v>
      </c>
      <c r="E40" s="331">
        <v>27</v>
      </c>
      <c r="F40" s="332">
        <v>24</v>
      </c>
      <c r="G40" s="332"/>
      <c r="H40" s="332"/>
      <c r="I40" s="332"/>
      <c r="J40" s="332"/>
      <c r="K40" s="332">
        <v>24</v>
      </c>
      <c r="L40" s="333">
        <v>1</v>
      </c>
      <c r="M40" s="334">
        <v>24</v>
      </c>
      <c r="N40" s="369">
        <v>5.26</v>
      </c>
      <c r="O40" s="335" t="str">
        <f t="shared" si="1"/>
        <v>45.72*40.64*20.32</v>
      </c>
      <c r="P40" s="336">
        <v>18</v>
      </c>
      <c r="Q40" s="337">
        <v>16</v>
      </c>
      <c r="R40" s="337">
        <v>8</v>
      </c>
      <c r="S40" s="338">
        <f t="shared" si="2"/>
        <v>45.72</v>
      </c>
      <c r="T40" s="338">
        <f t="shared" si="3"/>
        <v>40.64</v>
      </c>
      <c r="U40" s="338">
        <f t="shared" si="4"/>
        <v>20.32</v>
      </c>
      <c r="V40" s="338" t="str">
        <f t="shared" si="5"/>
        <v>45.72*40.64*20.32</v>
      </c>
      <c r="W40" s="338"/>
    </row>
    <row r="41" spans="1:23" s="373" customFormat="1" ht="30.75" customHeight="1">
      <c r="A41" s="331"/>
      <c r="B41" s="331"/>
      <c r="C41" s="331"/>
      <c r="D41" s="331"/>
      <c r="E41" s="331"/>
      <c r="F41" s="332"/>
      <c r="G41" s="332"/>
      <c r="H41" s="332"/>
      <c r="I41" s="332"/>
      <c r="J41" s="332"/>
      <c r="K41" s="332"/>
      <c r="L41" s="339">
        <v>5</v>
      </c>
      <c r="M41" s="377">
        <v>120</v>
      </c>
      <c r="N41" s="378">
        <v>23.979999999999997</v>
      </c>
      <c r="O41" s="335"/>
      <c r="P41" s="336"/>
      <c r="Q41" s="337"/>
      <c r="R41" s="337"/>
      <c r="S41" s="338">
        <f t="shared" si="2"/>
        <v>0</v>
      </c>
      <c r="T41" s="338">
        <f t="shared" si="3"/>
        <v>0</v>
      </c>
      <c r="U41" s="338">
        <f t="shared" si="4"/>
        <v>0</v>
      </c>
      <c r="V41" s="338" t="str">
        <f t="shared" si="5"/>
        <v>0*0*0</v>
      </c>
      <c r="W41" s="338"/>
    </row>
    <row r="42" spans="1:23" s="373" customFormat="1" ht="30.75" customHeight="1">
      <c r="A42" s="331" t="s">
        <v>226</v>
      </c>
      <c r="B42" s="331" t="s">
        <v>261</v>
      </c>
      <c r="C42" s="331" t="s">
        <v>262</v>
      </c>
      <c r="D42" s="331">
        <v>28</v>
      </c>
      <c r="E42" s="331">
        <v>28</v>
      </c>
      <c r="F42" s="332">
        <v>24</v>
      </c>
      <c r="G42" s="332">
        <v>24</v>
      </c>
      <c r="H42" s="332"/>
      <c r="I42" s="332"/>
      <c r="J42" s="332"/>
      <c r="K42" s="332"/>
      <c r="L42" s="333">
        <v>1</v>
      </c>
      <c r="M42" s="334">
        <v>24</v>
      </c>
      <c r="N42" s="369">
        <v>3.24</v>
      </c>
      <c r="O42" s="335" t="str">
        <f t="shared" si="1"/>
        <v>50.8*43.18*8.89</v>
      </c>
      <c r="P42" s="336">
        <v>20</v>
      </c>
      <c r="Q42" s="337">
        <v>17</v>
      </c>
      <c r="R42" s="337">
        <v>3.5</v>
      </c>
      <c r="S42" s="338">
        <f t="shared" si="2"/>
        <v>50.8</v>
      </c>
      <c r="T42" s="338">
        <f t="shared" si="3"/>
        <v>43.18</v>
      </c>
      <c r="U42" s="338">
        <f t="shared" si="4"/>
        <v>8.89</v>
      </c>
      <c r="V42" s="338" t="str">
        <f t="shared" si="5"/>
        <v>50.8*43.18*8.89</v>
      </c>
      <c r="W42" s="338"/>
    </row>
    <row r="43" spans="1:23" s="373" customFormat="1" ht="30.75" customHeight="1">
      <c r="A43" s="331" t="s">
        <v>226</v>
      </c>
      <c r="B43" s="331" t="s">
        <v>261</v>
      </c>
      <c r="C43" s="331" t="s">
        <v>262</v>
      </c>
      <c r="D43" s="331">
        <v>29</v>
      </c>
      <c r="E43" s="331">
        <v>29</v>
      </c>
      <c r="F43" s="332">
        <v>24</v>
      </c>
      <c r="G43" s="332"/>
      <c r="H43" s="332">
        <v>24</v>
      </c>
      <c r="I43" s="332"/>
      <c r="J43" s="332"/>
      <c r="K43" s="332"/>
      <c r="L43" s="333">
        <v>1</v>
      </c>
      <c r="M43" s="334">
        <v>24</v>
      </c>
      <c r="N43" s="369">
        <v>3.44</v>
      </c>
      <c r="O43" s="335" t="str">
        <f t="shared" si="1"/>
        <v>50.8*43.18*8.89</v>
      </c>
      <c r="P43" s="336">
        <v>20</v>
      </c>
      <c r="Q43" s="337">
        <v>17</v>
      </c>
      <c r="R43" s="337">
        <v>3.5</v>
      </c>
      <c r="S43" s="338">
        <f t="shared" si="2"/>
        <v>50.8</v>
      </c>
      <c r="T43" s="338">
        <f t="shared" si="3"/>
        <v>43.18</v>
      </c>
      <c r="U43" s="338">
        <f t="shared" si="4"/>
        <v>8.89</v>
      </c>
      <c r="V43" s="338" t="str">
        <f t="shared" si="5"/>
        <v>50.8*43.18*8.89</v>
      </c>
      <c r="W43" s="338"/>
    </row>
    <row r="44" spans="1:23" s="373" customFormat="1" ht="30.75" customHeight="1">
      <c r="A44" s="331" t="s">
        <v>226</v>
      </c>
      <c r="B44" s="331" t="s">
        <v>261</v>
      </c>
      <c r="C44" s="331" t="s">
        <v>262</v>
      </c>
      <c r="D44" s="331">
        <v>30</v>
      </c>
      <c r="E44" s="331">
        <v>30</v>
      </c>
      <c r="F44" s="332">
        <v>24</v>
      </c>
      <c r="G44" s="332"/>
      <c r="H44" s="332"/>
      <c r="I44" s="332">
        <v>24</v>
      </c>
      <c r="J44" s="332"/>
      <c r="K44" s="332"/>
      <c r="L44" s="333">
        <v>1</v>
      </c>
      <c r="M44" s="334">
        <v>24</v>
      </c>
      <c r="N44" s="369">
        <v>3.74</v>
      </c>
      <c r="O44" s="335" t="str">
        <f t="shared" si="1"/>
        <v>50.8*43.18*8.89</v>
      </c>
      <c r="P44" s="336">
        <v>20</v>
      </c>
      <c r="Q44" s="337">
        <v>17</v>
      </c>
      <c r="R44" s="337">
        <v>3.5</v>
      </c>
      <c r="S44" s="338">
        <f t="shared" si="2"/>
        <v>50.8</v>
      </c>
      <c r="T44" s="338">
        <f t="shared" si="3"/>
        <v>43.18</v>
      </c>
      <c r="U44" s="338">
        <f t="shared" si="4"/>
        <v>8.89</v>
      </c>
      <c r="V44" s="338" t="str">
        <f t="shared" si="5"/>
        <v>50.8*43.18*8.89</v>
      </c>
      <c r="W44" s="338"/>
    </row>
    <row r="45" spans="1:23" s="373" customFormat="1" ht="30.75" customHeight="1">
      <c r="A45" s="331" t="s">
        <v>226</v>
      </c>
      <c r="B45" s="331" t="s">
        <v>261</v>
      </c>
      <c r="C45" s="331" t="s">
        <v>262</v>
      </c>
      <c r="D45" s="331">
        <v>31</v>
      </c>
      <c r="E45" s="331">
        <v>31</v>
      </c>
      <c r="F45" s="332">
        <v>24</v>
      </c>
      <c r="G45" s="332"/>
      <c r="H45" s="332"/>
      <c r="I45" s="332"/>
      <c r="J45" s="332">
        <v>24</v>
      </c>
      <c r="K45" s="332"/>
      <c r="L45" s="333">
        <v>1</v>
      </c>
      <c r="M45" s="334">
        <v>24</v>
      </c>
      <c r="N45" s="369">
        <v>4.04</v>
      </c>
      <c r="O45" s="335" t="str">
        <f t="shared" si="1"/>
        <v>50.8*43.18*10.16</v>
      </c>
      <c r="P45" s="336">
        <v>20</v>
      </c>
      <c r="Q45" s="337">
        <v>17</v>
      </c>
      <c r="R45" s="337">
        <v>4</v>
      </c>
      <c r="S45" s="338">
        <f t="shared" si="2"/>
        <v>50.8</v>
      </c>
      <c r="T45" s="338">
        <f t="shared" si="3"/>
        <v>43.18</v>
      </c>
      <c r="U45" s="338">
        <f t="shared" si="4"/>
        <v>10.16</v>
      </c>
      <c r="V45" s="338" t="str">
        <f t="shared" si="5"/>
        <v>50.8*43.18*10.16</v>
      </c>
      <c r="W45" s="338"/>
    </row>
    <row r="46" spans="1:23" s="373" customFormat="1" ht="30.75" customHeight="1">
      <c r="A46" s="331" t="s">
        <v>226</v>
      </c>
      <c r="B46" s="331" t="s">
        <v>261</v>
      </c>
      <c r="C46" s="331" t="s">
        <v>262</v>
      </c>
      <c r="D46" s="331">
        <v>32</v>
      </c>
      <c r="E46" s="331">
        <v>32</v>
      </c>
      <c r="F46" s="332">
        <v>24</v>
      </c>
      <c r="G46" s="332"/>
      <c r="H46" s="332"/>
      <c r="I46" s="332"/>
      <c r="J46" s="332"/>
      <c r="K46" s="332">
        <v>24</v>
      </c>
      <c r="L46" s="333">
        <v>1</v>
      </c>
      <c r="M46" s="334">
        <v>24</v>
      </c>
      <c r="N46" s="369">
        <v>4.46</v>
      </c>
      <c r="O46" s="335" t="str">
        <f t="shared" si="1"/>
        <v>50.8*43.18*10.16</v>
      </c>
      <c r="P46" s="336">
        <v>20</v>
      </c>
      <c r="Q46" s="337">
        <v>17</v>
      </c>
      <c r="R46" s="337">
        <v>4</v>
      </c>
      <c r="S46" s="338">
        <f t="shared" si="2"/>
        <v>50.8</v>
      </c>
      <c r="T46" s="338">
        <f t="shared" si="3"/>
        <v>43.18</v>
      </c>
      <c r="U46" s="338">
        <f t="shared" si="4"/>
        <v>10.16</v>
      </c>
      <c r="V46" s="338" t="str">
        <f t="shared" si="5"/>
        <v>50.8*43.18*10.16</v>
      </c>
      <c r="W46" s="338"/>
    </row>
    <row r="47" spans="1:23" s="373" customFormat="1" ht="30.75" customHeight="1">
      <c r="A47" s="331"/>
      <c r="B47" s="331"/>
      <c r="C47" s="331"/>
      <c r="D47" s="331"/>
      <c r="E47" s="331"/>
      <c r="F47" s="332"/>
      <c r="G47" s="332"/>
      <c r="H47" s="332"/>
      <c r="I47" s="332"/>
      <c r="J47" s="332"/>
      <c r="K47" s="332"/>
      <c r="L47" s="339">
        <v>5</v>
      </c>
      <c r="M47" s="377">
        <v>120</v>
      </c>
      <c r="N47" s="378">
        <v>18.920000000000002</v>
      </c>
      <c r="O47" s="335"/>
      <c r="P47" s="336"/>
      <c r="Q47" s="337"/>
      <c r="R47" s="337"/>
      <c r="S47" s="338">
        <f t="shared" si="2"/>
        <v>0</v>
      </c>
      <c r="T47" s="338">
        <f t="shared" si="3"/>
        <v>0</v>
      </c>
      <c r="U47" s="338">
        <f t="shared" si="4"/>
        <v>0</v>
      </c>
      <c r="V47" s="338" t="str">
        <f t="shared" si="5"/>
        <v>0*0*0</v>
      </c>
      <c r="W47" s="338"/>
    </row>
    <row r="48" spans="1:23" s="373" customFormat="1" ht="30.75" customHeight="1">
      <c r="A48" s="331" t="s">
        <v>226</v>
      </c>
      <c r="B48" s="331" t="s">
        <v>257</v>
      </c>
      <c r="C48" s="331" t="s">
        <v>258</v>
      </c>
      <c r="D48" s="331">
        <v>33</v>
      </c>
      <c r="E48" s="331">
        <v>33</v>
      </c>
      <c r="F48" s="332">
        <v>24</v>
      </c>
      <c r="G48" s="332">
        <v>24</v>
      </c>
      <c r="H48" s="332"/>
      <c r="I48" s="332"/>
      <c r="J48" s="332"/>
      <c r="K48" s="332"/>
      <c r="L48" s="333">
        <v>1</v>
      </c>
      <c r="M48" s="334">
        <v>24</v>
      </c>
      <c r="N48" s="369">
        <v>3.24</v>
      </c>
      <c r="O48" s="335" t="str">
        <f t="shared" si="1"/>
        <v>50.8*43.18*8.89</v>
      </c>
      <c r="P48" s="336">
        <v>20</v>
      </c>
      <c r="Q48" s="337">
        <v>17</v>
      </c>
      <c r="R48" s="337">
        <v>3.5</v>
      </c>
      <c r="S48" s="338">
        <f t="shared" si="2"/>
        <v>50.8</v>
      </c>
      <c r="T48" s="338">
        <f t="shared" si="3"/>
        <v>43.18</v>
      </c>
      <c r="U48" s="338">
        <f t="shared" si="4"/>
        <v>8.89</v>
      </c>
      <c r="V48" s="338" t="str">
        <f t="shared" si="5"/>
        <v>50.8*43.18*8.89</v>
      </c>
      <c r="W48" s="338"/>
    </row>
    <row r="49" spans="1:23" s="373" customFormat="1" ht="30.75" customHeight="1">
      <c r="A49" s="331" t="s">
        <v>226</v>
      </c>
      <c r="B49" s="331" t="s">
        <v>257</v>
      </c>
      <c r="C49" s="331" t="s">
        <v>258</v>
      </c>
      <c r="D49" s="331">
        <v>34</v>
      </c>
      <c r="E49" s="331">
        <v>34</v>
      </c>
      <c r="F49" s="332">
        <v>24</v>
      </c>
      <c r="G49" s="332"/>
      <c r="H49" s="332">
        <v>24</v>
      </c>
      <c r="I49" s="332"/>
      <c r="J49" s="332"/>
      <c r="K49" s="332"/>
      <c r="L49" s="333">
        <v>1</v>
      </c>
      <c r="M49" s="334">
        <v>24</v>
      </c>
      <c r="N49" s="369">
        <v>3.44</v>
      </c>
      <c r="O49" s="335" t="str">
        <f t="shared" si="1"/>
        <v>50.8*43.18*8.89</v>
      </c>
      <c r="P49" s="336">
        <v>20</v>
      </c>
      <c r="Q49" s="337">
        <v>17</v>
      </c>
      <c r="R49" s="337">
        <v>3.5</v>
      </c>
      <c r="S49" s="338">
        <f t="shared" si="2"/>
        <v>50.8</v>
      </c>
      <c r="T49" s="338">
        <f t="shared" si="3"/>
        <v>43.18</v>
      </c>
      <c r="U49" s="338">
        <f t="shared" si="4"/>
        <v>8.89</v>
      </c>
      <c r="V49" s="338" t="str">
        <f t="shared" si="5"/>
        <v>50.8*43.18*8.89</v>
      </c>
      <c r="W49" s="338"/>
    </row>
    <row r="50" spans="1:23" s="373" customFormat="1" ht="30.75" customHeight="1">
      <c r="A50" s="331" t="s">
        <v>226</v>
      </c>
      <c r="B50" s="331" t="s">
        <v>257</v>
      </c>
      <c r="C50" s="331" t="s">
        <v>258</v>
      </c>
      <c r="D50" s="331">
        <v>35</v>
      </c>
      <c r="E50" s="331">
        <v>35</v>
      </c>
      <c r="F50" s="332">
        <v>24</v>
      </c>
      <c r="G50" s="332"/>
      <c r="H50" s="332"/>
      <c r="I50" s="332">
        <v>24</v>
      </c>
      <c r="J50" s="332"/>
      <c r="K50" s="332"/>
      <c r="L50" s="333">
        <v>1</v>
      </c>
      <c r="M50" s="334">
        <v>24</v>
      </c>
      <c r="N50" s="369">
        <v>3.74</v>
      </c>
      <c r="O50" s="335" t="str">
        <f t="shared" si="1"/>
        <v>50.8*43.18*8.89</v>
      </c>
      <c r="P50" s="336">
        <v>20</v>
      </c>
      <c r="Q50" s="337">
        <v>17</v>
      </c>
      <c r="R50" s="337">
        <v>3.5</v>
      </c>
      <c r="S50" s="338">
        <f t="shared" si="2"/>
        <v>50.8</v>
      </c>
      <c r="T50" s="338">
        <f t="shared" si="3"/>
        <v>43.18</v>
      </c>
      <c r="U50" s="338">
        <f t="shared" si="4"/>
        <v>8.89</v>
      </c>
      <c r="V50" s="338" t="str">
        <f t="shared" si="5"/>
        <v>50.8*43.18*8.89</v>
      </c>
      <c r="W50" s="338"/>
    </row>
    <row r="51" spans="1:23" s="373" customFormat="1" ht="30.75" customHeight="1">
      <c r="A51" s="331" t="s">
        <v>226</v>
      </c>
      <c r="B51" s="331" t="s">
        <v>257</v>
      </c>
      <c r="C51" s="331" t="s">
        <v>258</v>
      </c>
      <c r="D51" s="331">
        <v>36</v>
      </c>
      <c r="E51" s="331">
        <v>36</v>
      </c>
      <c r="F51" s="332">
        <v>24</v>
      </c>
      <c r="G51" s="332"/>
      <c r="H51" s="332"/>
      <c r="I51" s="332"/>
      <c r="J51" s="332">
        <v>24</v>
      </c>
      <c r="K51" s="332"/>
      <c r="L51" s="333">
        <v>1</v>
      </c>
      <c r="M51" s="334">
        <v>24</v>
      </c>
      <c r="N51" s="369">
        <v>4.04</v>
      </c>
      <c r="O51" s="335" t="str">
        <f t="shared" si="1"/>
        <v>50.8*43.18*10.16</v>
      </c>
      <c r="P51" s="336">
        <v>20</v>
      </c>
      <c r="Q51" s="337">
        <v>17</v>
      </c>
      <c r="R51" s="337">
        <v>4</v>
      </c>
      <c r="S51" s="338">
        <f t="shared" si="2"/>
        <v>50.8</v>
      </c>
      <c r="T51" s="338">
        <f t="shared" si="3"/>
        <v>43.18</v>
      </c>
      <c r="U51" s="338">
        <f t="shared" si="4"/>
        <v>10.16</v>
      </c>
      <c r="V51" s="338" t="str">
        <f t="shared" si="5"/>
        <v>50.8*43.18*10.16</v>
      </c>
      <c r="W51" s="338"/>
    </row>
    <row r="52" spans="1:23" s="373" customFormat="1" ht="30.75" customHeight="1">
      <c r="A52" s="331" t="s">
        <v>226</v>
      </c>
      <c r="B52" s="331" t="s">
        <v>257</v>
      </c>
      <c r="C52" s="331" t="s">
        <v>258</v>
      </c>
      <c r="D52" s="331">
        <v>37</v>
      </c>
      <c r="E52" s="331">
        <v>37</v>
      </c>
      <c r="F52" s="332">
        <v>24</v>
      </c>
      <c r="G52" s="332"/>
      <c r="H52" s="332"/>
      <c r="I52" s="332"/>
      <c r="J52" s="332"/>
      <c r="K52" s="332">
        <v>24</v>
      </c>
      <c r="L52" s="333">
        <v>1</v>
      </c>
      <c r="M52" s="334">
        <v>24</v>
      </c>
      <c r="N52" s="369">
        <v>4.46</v>
      </c>
      <c r="O52" s="335" t="str">
        <f t="shared" si="1"/>
        <v>50.8*43.18*10.16</v>
      </c>
      <c r="P52" s="336">
        <v>20</v>
      </c>
      <c r="Q52" s="337">
        <v>17</v>
      </c>
      <c r="R52" s="337">
        <v>4</v>
      </c>
      <c r="S52" s="338">
        <f t="shared" si="2"/>
        <v>50.8</v>
      </c>
      <c r="T52" s="338">
        <f t="shared" si="3"/>
        <v>43.18</v>
      </c>
      <c r="U52" s="338">
        <f t="shared" si="4"/>
        <v>10.16</v>
      </c>
      <c r="V52" s="338" t="str">
        <f t="shared" si="5"/>
        <v>50.8*43.18*10.16</v>
      </c>
      <c r="W52" s="338"/>
    </row>
    <row r="53" spans="1:23" s="373" customFormat="1" ht="30.75" customHeight="1">
      <c r="A53" s="331"/>
      <c r="B53" s="331"/>
      <c r="C53" s="331"/>
      <c r="D53" s="331"/>
      <c r="E53" s="331"/>
      <c r="F53" s="332"/>
      <c r="G53" s="332"/>
      <c r="H53" s="332"/>
      <c r="I53" s="332"/>
      <c r="J53" s="332"/>
      <c r="K53" s="332"/>
      <c r="L53" s="339">
        <v>5</v>
      </c>
      <c r="M53" s="377">
        <v>120</v>
      </c>
      <c r="N53" s="378">
        <v>18.920000000000002</v>
      </c>
      <c r="O53" s="335"/>
      <c r="P53" s="336"/>
      <c r="Q53" s="337"/>
      <c r="R53" s="337"/>
      <c r="S53" s="338">
        <f t="shared" si="2"/>
        <v>0</v>
      </c>
      <c r="T53" s="338">
        <f t="shared" si="3"/>
        <v>0</v>
      </c>
      <c r="U53" s="338">
        <f t="shared" si="4"/>
        <v>0</v>
      </c>
      <c r="V53" s="338" t="str">
        <f t="shared" si="5"/>
        <v>0*0*0</v>
      </c>
      <c r="W53" s="338"/>
    </row>
    <row r="54" spans="1:23" s="338" customFormat="1" ht="30.75" customHeight="1">
      <c r="A54" s="331"/>
      <c r="B54" s="331"/>
      <c r="C54" s="331"/>
      <c r="D54" s="331"/>
      <c r="E54" s="331"/>
      <c r="F54" s="332"/>
      <c r="G54" s="332"/>
      <c r="H54" s="332"/>
      <c r="I54" s="332"/>
      <c r="J54" s="332"/>
      <c r="K54" s="332"/>
      <c r="L54" s="339"/>
      <c r="M54" s="339"/>
      <c r="N54" s="335"/>
      <c r="O54" s="335"/>
    </row>
    <row r="55" spans="1:23" s="317" customFormat="1" ht="30.75" customHeight="1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1">
        <f>+L53+L47+L41+L35+L29+L21+L15</f>
        <v>37</v>
      </c>
      <c r="M55" s="341">
        <f t="shared" ref="M55:N55" si="6">+M53+M47+M41+M35+M29+M21+M15</f>
        <v>888</v>
      </c>
      <c r="N55" s="374">
        <f t="shared" si="6"/>
        <v>146.94999999999999</v>
      </c>
      <c r="O55" s="342"/>
    </row>
    <row r="56" spans="1:23" s="317" customFormat="1" ht="30.75" customHeight="1">
      <c r="A56" s="318"/>
      <c r="B56" s="343"/>
      <c r="H56" s="320"/>
      <c r="I56" s="320"/>
      <c r="J56" s="320"/>
      <c r="K56" s="320"/>
      <c r="L56" s="321"/>
      <c r="M56" s="320"/>
    </row>
  </sheetData>
  <autoFilter ref="A9:M55" xr:uid="{00000000-0009-0000-0000-000002000000}">
    <filterColumn colId="3" showButton="0"/>
  </autoFilter>
  <mergeCells count="32">
    <mergeCell ref="FB5:GA5"/>
    <mergeCell ref="GB5:HA5"/>
    <mergeCell ref="HB5:HW5"/>
    <mergeCell ref="D9:E9"/>
    <mergeCell ref="A5:M5"/>
    <mergeCell ref="AB5:BA5"/>
    <mergeCell ref="BB5:CA5"/>
    <mergeCell ref="CB5:DA5"/>
    <mergeCell ref="DB5:EA5"/>
    <mergeCell ref="EB5:FA5"/>
    <mergeCell ref="DV3:EN3"/>
    <mergeCell ref="EO3:FG3"/>
    <mergeCell ref="FH3:FZ3"/>
    <mergeCell ref="GA3:GS3"/>
    <mergeCell ref="GT3:HL3"/>
    <mergeCell ref="HM3:HU3"/>
    <mergeCell ref="EO2:FG2"/>
    <mergeCell ref="FH2:FZ2"/>
    <mergeCell ref="GA2:GS2"/>
    <mergeCell ref="GT2:HL2"/>
    <mergeCell ref="HM2:HU2"/>
    <mergeCell ref="AE3:AW3"/>
    <mergeCell ref="AX3:BP3"/>
    <mergeCell ref="BQ3:CI3"/>
    <mergeCell ref="CJ3:DB3"/>
    <mergeCell ref="DC3:DU3"/>
    <mergeCell ref="AE2:AW2"/>
    <mergeCell ref="AX2:BP2"/>
    <mergeCell ref="BQ2:CI2"/>
    <mergeCell ref="CJ2:DB2"/>
    <mergeCell ref="DC2:DU2"/>
    <mergeCell ref="DV2:EN2"/>
  </mergeCells>
  <pageMargins left="0.43307086614173229" right="0.19685039370078741" top="0.31496062992125984" bottom="0.43307086614173229" header="0.11811023622047245" footer="0.31496062992125984"/>
  <pageSetup paperSize="9" scale="56" fitToHeight="0" orientation="landscape" verticalDpi="1200" r:id="rId1"/>
  <rowBreaks count="1" manualBreakCount="1">
    <brk id="60" max="26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BD79-A5D4-4E92-B233-6330E2E085D4}">
  <sheetPr>
    <tabColor theme="0" tint="-0.14999847407452621"/>
    <pageSetUpPr fitToPage="1"/>
  </sheetPr>
  <dimension ref="A1:N317"/>
  <sheetViews>
    <sheetView view="pageBreakPreview" topLeftCell="A12" zoomScale="52" zoomScaleNormal="70" zoomScaleSheetLayoutView="52" workbookViewId="0">
      <selection activeCell="F22" sqref="F22"/>
    </sheetView>
  </sheetViews>
  <sheetFormatPr defaultColWidth="9" defaultRowHeight="15"/>
  <cols>
    <col min="1" max="1" width="27" style="313" customWidth="1"/>
    <col min="2" max="2" width="28.875" style="313" customWidth="1"/>
    <col min="3" max="3" width="26.625" style="313" customWidth="1"/>
    <col min="4" max="8" width="10.625" style="313" customWidth="1"/>
    <col min="9" max="10" width="15.5" style="313" customWidth="1"/>
    <col min="11" max="16384" width="9" style="313"/>
  </cols>
  <sheetData>
    <row r="1" spans="1:12" s="338" customFormat="1" ht="33" customHeight="1">
      <c r="A1" s="316" t="s">
        <v>241</v>
      </c>
      <c r="B1" s="316"/>
      <c r="C1" s="316"/>
      <c r="D1" s="316"/>
      <c r="E1" s="316"/>
      <c r="F1" s="316"/>
      <c r="G1" s="316"/>
      <c r="H1" s="316"/>
      <c r="I1" s="316"/>
      <c r="J1" s="316"/>
    </row>
    <row r="2" spans="1:12" s="338" customFormat="1" ht="33" customHeight="1">
      <c r="A2" s="316" t="s">
        <v>242</v>
      </c>
      <c r="B2" s="316"/>
      <c r="C2" s="316"/>
      <c r="D2" s="316"/>
      <c r="E2" s="316"/>
      <c r="F2" s="316"/>
      <c r="G2" s="316"/>
      <c r="H2" s="316"/>
      <c r="I2" s="316"/>
      <c r="J2" s="316"/>
    </row>
    <row r="3" spans="1:12" s="338" customFormat="1" ht="33" customHeight="1">
      <c r="A3" s="346"/>
      <c r="B3" s="346"/>
      <c r="C3" s="346"/>
      <c r="D3" s="317"/>
      <c r="E3" s="317"/>
      <c r="F3" s="317"/>
      <c r="G3" s="317"/>
      <c r="H3" s="317"/>
      <c r="I3" s="317"/>
      <c r="J3" s="347"/>
    </row>
    <row r="4" spans="1:12" s="338" customFormat="1" ht="33" customHeight="1">
      <c r="A4" s="318" t="s">
        <v>234</v>
      </c>
      <c r="B4" s="319" t="str">
        <f>+'SZ514'!B6</f>
        <v>SZ514</v>
      </c>
      <c r="C4" s="348"/>
      <c r="D4" s="317"/>
      <c r="E4" s="317"/>
      <c r="F4" s="317"/>
      <c r="G4" s="317"/>
      <c r="H4" s="317"/>
      <c r="I4" s="317"/>
      <c r="J4" s="348"/>
    </row>
    <row r="5" spans="1:12" s="338" customFormat="1" ht="33" customHeight="1">
      <c r="A5" s="318" t="s">
        <v>235</v>
      </c>
      <c r="B5" s="343">
        <f>+I15</f>
        <v>37</v>
      </c>
      <c r="C5" s="348"/>
      <c r="D5" s="348"/>
      <c r="E5" s="348"/>
      <c r="F5" s="348"/>
      <c r="G5" s="348"/>
      <c r="H5" s="347"/>
      <c r="I5" s="348"/>
      <c r="J5" s="348"/>
    </row>
    <row r="6" spans="1:12" s="338" customFormat="1" ht="33" customHeight="1">
      <c r="A6" s="349" t="s">
        <v>236</v>
      </c>
      <c r="B6" s="349" t="s">
        <v>237</v>
      </c>
      <c r="C6" s="349" t="s">
        <v>238</v>
      </c>
      <c r="D6" s="349" t="s">
        <v>59</v>
      </c>
      <c r="E6" s="349" t="s">
        <v>27</v>
      </c>
      <c r="F6" s="349" t="s">
        <v>28</v>
      </c>
      <c r="G6" s="349" t="s">
        <v>29</v>
      </c>
      <c r="H6" s="349" t="s">
        <v>30</v>
      </c>
      <c r="I6" s="329" t="s">
        <v>31</v>
      </c>
      <c r="J6" s="329" t="s">
        <v>32</v>
      </c>
    </row>
    <row r="7" spans="1:12" s="338" customFormat="1" ht="33" customHeight="1">
      <c r="A7" s="350" t="s">
        <v>222</v>
      </c>
      <c r="B7" s="350" t="s">
        <v>220</v>
      </c>
      <c r="C7" s="350" t="s">
        <v>232</v>
      </c>
      <c r="D7" s="306">
        <v>24</v>
      </c>
      <c r="E7" s="306">
        <v>24</v>
      </c>
      <c r="F7" s="306">
        <v>24</v>
      </c>
      <c r="G7" s="306">
        <v>24</v>
      </c>
      <c r="H7" s="306">
        <v>24</v>
      </c>
      <c r="I7" s="350">
        <v>5</v>
      </c>
      <c r="J7" s="350">
        <v>120</v>
      </c>
      <c r="K7" s="338">
        <f>+SUM(D7:H7)</f>
        <v>120</v>
      </c>
      <c r="L7" s="338">
        <f>+K7-J7</f>
        <v>0</v>
      </c>
    </row>
    <row r="8" spans="1:12" s="338" customFormat="1" ht="33" customHeight="1">
      <c r="A8" s="350" t="s">
        <v>221</v>
      </c>
      <c r="B8" s="350" t="s">
        <v>220</v>
      </c>
      <c r="C8" s="350" t="s">
        <v>232</v>
      </c>
      <c r="D8" s="306">
        <v>24</v>
      </c>
      <c r="E8" s="306">
        <v>24</v>
      </c>
      <c r="F8" s="306">
        <v>24</v>
      </c>
      <c r="G8" s="306">
        <v>24</v>
      </c>
      <c r="H8" s="306">
        <v>24</v>
      </c>
      <c r="I8" s="350">
        <v>5</v>
      </c>
      <c r="J8" s="350">
        <v>120</v>
      </c>
      <c r="K8" s="338">
        <f t="shared" ref="K8:K13" si="0">+SUM(D8:H8)</f>
        <v>120</v>
      </c>
      <c r="L8" s="338">
        <f t="shared" ref="L8:L13" si="1">+K8-J8</f>
        <v>0</v>
      </c>
    </row>
    <row r="9" spans="1:12" s="338" customFormat="1" ht="33" customHeight="1">
      <c r="A9" s="350" t="s">
        <v>227</v>
      </c>
      <c r="B9" s="350" t="s">
        <v>220</v>
      </c>
      <c r="C9" s="350" t="s">
        <v>232</v>
      </c>
      <c r="D9" s="306">
        <v>24</v>
      </c>
      <c r="E9" s="306">
        <v>48</v>
      </c>
      <c r="F9" s="306">
        <v>48</v>
      </c>
      <c r="G9" s="306">
        <v>24</v>
      </c>
      <c r="H9" s="306">
        <v>24</v>
      </c>
      <c r="I9" s="350">
        <v>7</v>
      </c>
      <c r="J9" s="350">
        <v>168</v>
      </c>
      <c r="K9" s="338">
        <f t="shared" si="0"/>
        <v>168</v>
      </c>
      <c r="L9" s="338">
        <f t="shared" si="1"/>
        <v>0</v>
      </c>
    </row>
    <row r="10" spans="1:12" s="338" customFormat="1" ht="33" customHeight="1">
      <c r="A10" s="350" t="s">
        <v>228</v>
      </c>
      <c r="B10" s="350" t="s">
        <v>229</v>
      </c>
      <c r="C10" s="350" t="s">
        <v>268</v>
      </c>
      <c r="D10" s="306">
        <v>24</v>
      </c>
      <c r="E10" s="306">
        <v>24</v>
      </c>
      <c r="F10" s="306">
        <v>24</v>
      </c>
      <c r="G10" s="306">
        <v>24</v>
      </c>
      <c r="H10" s="306">
        <v>24</v>
      </c>
      <c r="I10" s="350">
        <v>5</v>
      </c>
      <c r="J10" s="350">
        <v>120</v>
      </c>
      <c r="K10" s="338">
        <f t="shared" si="0"/>
        <v>120</v>
      </c>
      <c r="L10" s="338">
        <f t="shared" si="1"/>
        <v>0</v>
      </c>
    </row>
    <row r="11" spans="1:12" s="338" customFormat="1" ht="33" customHeight="1">
      <c r="A11" s="350" t="s">
        <v>228</v>
      </c>
      <c r="B11" s="350" t="s">
        <v>223</v>
      </c>
      <c r="C11" s="350" t="s">
        <v>258</v>
      </c>
      <c r="D11" s="306">
        <v>24</v>
      </c>
      <c r="E11" s="306">
        <v>24</v>
      </c>
      <c r="F11" s="306">
        <v>24</v>
      </c>
      <c r="G11" s="306">
        <v>24</v>
      </c>
      <c r="H11" s="306">
        <v>24</v>
      </c>
      <c r="I11" s="350">
        <v>5</v>
      </c>
      <c r="J11" s="350">
        <v>120</v>
      </c>
      <c r="K11" s="338">
        <f t="shared" si="0"/>
        <v>120</v>
      </c>
      <c r="L11" s="338">
        <f t="shared" si="1"/>
        <v>0</v>
      </c>
    </row>
    <row r="12" spans="1:12" s="338" customFormat="1" ht="33" customHeight="1">
      <c r="A12" s="350" t="s">
        <v>226</v>
      </c>
      <c r="B12" s="350" t="s">
        <v>224</v>
      </c>
      <c r="C12" s="350" t="s">
        <v>262</v>
      </c>
      <c r="D12" s="306">
        <v>24</v>
      </c>
      <c r="E12" s="306">
        <v>24</v>
      </c>
      <c r="F12" s="306">
        <v>24</v>
      </c>
      <c r="G12" s="306">
        <v>24</v>
      </c>
      <c r="H12" s="306">
        <v>24</v>
      </c>
      <c r="I12" s="350">
        <v>5</v>
      </c>
      <c r="J12" s="350">
        <v>120</v>
      </c>
      <c r="K12" s="338">
        <f t="shared" si="0"/>
        <v>120</v>
      </c>
      <c r="L12" s="338">
        <f t="shared" si="1"/>
        <v>0</v>
      </c>
    </row>
    <row r="13" spans="1:12" s="338" customFormat="1" ht="33" customHeight="1">
      <c r="A13" s="350" t="s">
        <v>226</v>
      </c>
      <c r="B13" s="350" t="s">
        <v>223</v>
      </c>
      <c r="C13" s="350" t="s">
        <v>258</v>
      </c>
      <c r="D13" s="306">
        <v>24</v>
      </c>
      <c r="E13" s="306">
        <v>24</v>
      </c>
      <c r="F13" s="306">
        <v>24</v>
      </c>
      <c r="G13" s="306">
        <v>24</v>
      </c>
      <c r="H13" s="306">
        <v>24</v>
      </c>
      <c r="I13" s="350">
        <v>5</v>
      </c>
      <c r="J13" s="350">
        <v>120</v>
      </c>
      <c r="K13" s="338">
        <f t="shared" si="0"/>
        <v>120</v>
      </c>
      <c r="L13" s="338">
        <f t="shared" si="1"/>
        <v>0</v>
      </c>
    </row>
    <row r="14" spans="1:12" s="338" customFormat="1" ht="33" customHeight="1">
      <c r="A14" s="350"/>
      <c r="B14" s="350"/>
      <c r="C14" s="350"/>
      <c r="D14" s="350"/>
      <c r="E14" s="350"/>
      <c r="F14" s="350"/>
      <c r="G14" s="350"/>
      <c r="H14" s="350"/>
      <c r="I14" s="350"/>
      <c r="J14" s="350"/>
    </row>
    <row r="15" spans="1:12" s="338" customFormat="1" ht="34.5" customHeight="1">
      <c r="A15" s="351" t="s">
        <v>33</v>
      </c>
      <c r="B15" s="351"/>
      <c r="C15" s="351"/>
      <c r="D15" s="352"/>
      <c r="E15" s="352"/>
      <c r="F15" s="353"/>
      <c r="G15" s="353"/>
      <c r="H15" s="353"/>
      <c r="I15" s="353">
        <f>SUM(I7:I14)</f>
        <v>37</v>
      </c>
      <c r="J15" s="353">
        <f>SUM(J7:J14)</f>
        <v>888</v>
      </c>
    </row>
    <row r="16" spans="1:12" ht="34.5" customHeight="1">
      <c r="A16" s="354" t="s">
        <v>243</v>
      </c>
      <c r="B16" s="354"/>
      <c r="C16" s="317"/>
      <c r="D16" s="317"/>
      <c r="E16" s="317"/>
    </row>
    <row r="17" spans="1:14" ht="34.5" customHeight="1">
      <c r="A17" s="355" t="s">
        <v>244</v>
      </c>
      <c r="B17" s="356" t="str">
        <f>+B4</f>
        <v>SZ514</v>
      </c>
      <c r="C17" s="356" t="s">
        <v>245</v>
      </c>
      <c r="D17" s="357" t="s">
        <v>25</v>
      </c>
      <c r="E17" s="357"/>
    </row>
    <row r="18" spans="1:14" ht="34.5" customHeight="1">
      <c r="A18" s="355" t="s">
        <v>246</v>
      </c>
      <c r="B18" s="356">
        <f>+C18</f>
        <v>37</v>
      </c>
      <c r="C18" s="358">
        <f>+I15</f>
        <v>37</v>
      </c>
      <c r="D18" s="317"/>
      <c r="E18" s="317"/>
    </row>
    <row r="19" spans="1:14" ht="34.5" customHeight="1">
      <c r="A19" s="355" t="s">
        <v>247</v>
      </c>
      <c r="B19" s="359">
        <f>+C19/$B$18</f>
        <v>3.9716216216216211</v>
      </c>
      <c r="C19" s="359">
        <v>146.94999999999999</v>
      </c>
      <c r="D19" s="360"/>
      <c r="E19" s="360"/>
    </row>
    <row r="20" spans="1:14" ht="34.5" customHeight="1">
      <c r="A20" s="355" t="s">
        <v>248</v>
      </c>
      <c r="B20" s="359">
        <f t="shared" ref="B20:B23" si="2">+C20/$B$18</f>
        <v>3.2051351351351354</v>
      </c>
      <c r="C20" s="359">
        <v>118.59</v>
      </c>
      <c r="D20" s="360"/>
      <c r="E20" s="360"/>
    </row>
    <row r="21" spans="1:14" ht="34.5" customHeight="1">
      <c r="A21" s="355" t="s">
        <v>249</v>
      </c>
      <c r="B21" s="359"/>
      <c r="C21" s="359"/>
      <c r="D21" s="317"/>
      <c r="E21" s="317"/>
    </row>
    <row r="22" spans="1:14" ht="34.5" customHeight="1">
      <c r="A22" s="355" t="s">
        <v>250</v>
      </c>
      <c r="B22" s="359"/>
      <c r="C22" s="359"/>
      <c r="D22" s="317"/>
      <c r="E22" s="317"/>
    </row>
    <row r="23" spans="1:14" ht="34.5" customHeight="1">
      <c r="A23" s="355" t="s">
        <v>251</v>
      </c>
      <c r="B23" s="359">
        <f t="shared" si="2"/>
        <v>2.455535135135135E-2</v>
      </c>
      <c r="C23" s="359">
        <v>0.90854799999999991</v>
      </c>
      <c r="D23" s="317"/>
      <c r="E23" s="317"/>
    </row>
    <row r="24" spans="1:14" ht="34.5" customHeight="1">
      <c r="A24" s="361" t="s">
        <v>252</v>
      </c>
      <c r="B24" s="362"/>
      <c r="C24" s="342"/>
      <c r="D24" s="317"/>
      <c r="E24" s="317"/>
    </row>
    <row r="25" spans="1:14" ht="34.5" customHeight="1">
      <c r="A25" s="363" t="s">
        <v>253</v>
      </c>
      <c r="B25" s="364"/>
      <c r="C25" s="317"/>
      <c r="D25" s="317"/>
      <c r="E25" s="317"/>
    </row>
    <row r="26" spans="1:14" ht="34.5" customHeight="1">
      <c r="A26" s="363"/>
      <c r="B26" s="364"/>
      <c r="D26" s="317"/>
      <c r="E26" s="317"/>
    </row>
    <row r="31" spans="1:14" ht="18.75">
      <c r="N31" s="376">
        <f>SUM(N15:N30)</f>
        <v>0</v>
      </c>
    </row>
    <row r="291" spans="1:10">
      <c r="B291" s="313">
        <v>-52</v>
      </c>
      <c r="C291" s="313">
        <v>-39</v>
      </c>
      <c r="D291" s="365"/>
    </row>
    <row r="292" spans="1:10">
      <c r="B292" s="313">
        <v>-52</v>
      </c>
      <c r="C292" s="313">
        <v>-39</v>
      </c>
    </row>
    <row r="293" spans="1:10">
      <c r="B293" s="313">
        <v>-52</v>
      </c>
      <c r="C293" s="313">
        <v>-39</v>
      </c>
    </row>
    <row r="294" spans="1:10">
      <c r="B294" s="313">
        <v>-52</v>
      </c>
      <c r="C294" s="313">
        <v>-39</v>
      </c>
    </row>
    <row r="295" spans="1:10">
      <c r="B295" s="313">
        <v>-52</v>
      </c>
      <c r="C295" s="313">
        <v>-39</v>
      </c>
    </row>
    <row r="296" spans="1:10">
      <c r="B296" s="313">
        <v>-52</v>
      </c>
      <c r="C296" s="313">
        <v>-39</v>
      </c>
    </row>
    <row r="297" spans="1:10">
      <c r="B297" s="313">
        <v>-52</v>
      </c>
      <c r="C297" s="313">
        <v>-39</v>
      </c>
    </row>
    <row r="298" spans="1:10" s="368" customFormat="1">
      <c r="A298" s="366" t="s">
        <v>254</v>
      </c>
      <c r="B298" s="367"/>
      <c r="C298" s="365">
        <v>-39</v>
      </c>
      <c r="D298" s="313"/>
      <c r="E298" s="365"/>
      <c r="F298" s="365"/>
      <c r="G298" s="365"/>
      <c r="H298" s="365"/>
      <c r="I298" s="365"/>
      <c r="J298" s="365"/>
    </row>
    <row r="299" spans="1:10">
      <c r="B299" s="313">
        <v>-52</v>
      </c>
      <c r="C299" s="313">
        <v>-39</v>
      </c>
    </row>
    <row r="301" spans="1:10">
      <c r="B301" s="313">
        <v>-52</v>
      </c>
      <c r="C301" s="313">
        <v>-39</v>
      </c>
      <c r="D301" s="365"/>
    </row>
    <row r="302" spans="1:10">
      <c r="B302" s="313">
        <v>-52</v>
      </c>
      <c r="C302" s="313">
        <v>-39</v>
      </c>
    </row>
    <row r="303" spans="1:10">
      <c r="B303" s="313">
        <v>-52</v>
      </c>
      <c r="C303" s="313">
        <v>-39</v>
      </c>
    </row>
    <row r="304" spans="1:10">
      <c r="B304" s="313">
        <v>-52</v>
      </c>
      <c r="C304" s="313">
        <v>-39</v>
      </c>
    </row>
    <row r="305" spans="1:10">
      <c r="B305" s="313">
        <v>-52</v>
      </c>
      <c r="C305" s="313">
        <v>-39</v>
      </c>
    </row>
    <row r="306" spans="1:10">
      <c r="B306" s="313">
        <v>-52</v>
      </c>
      <c r="C306" s="313">
        <v>-39</v>
      </c>
    </row>
    <row r="307" spans="1:10">
      <c r="B307" s="313">
        <v>-52</v>
      </c>
      <c r="C307" s="313">
        <v>-39</v>
      </c>
    </row>
    <row r="308" spans="1:10" s="368" customFormat="1">
      <c r="A308" s="366"/>
      <c r="B308" s="367"/>
      <c r="C308" s="365"/>
      <c r="D308" s="313"/>
      <c r="E308" s="365"/>
      <c r="F308" s="365"/>
      <c r="G308" s="365"/>
      <c r="H308" s="365"/>
      <c r="I308" s="365"/>
      <c r="J308" s="365"/>
    </row>
    <row r="309" spans="1:10">
      <c r="B309" s="313">
        <v>0</v>
      </c>
      <c r="C309" s="313">
        <v>0</v>
      </c>
      <c r="D309" s="365"/>
    </row>
    <row r="316" spans="1:10" s="368" customFormat="1">
      <c r="A316" s="366" t="s">
        <v>254</v>
      </c>
      <c r="B316" s="367"/>
      <c r="C316" s="365"/>
      <c r="D316" s="313"/>
      <c r="E316" s="365"/>
      <c r="F316" s="365"/>
      <c r="G316" s="365"/>
      <c r="H316" s="365"/>
      <c r="I316" s="365"/>
      <c r="J316" s="365"/>
    </row>
    <row r="317" spans="1:10">
      <c r="A317" s="366" t="s">
        <v>255</v>
      </c>
      <c r="B317" s="367"/>
    </row>
  </sheetData>
  <autoFilter ref="A6:J15" xr:uid="{00000000-0009-0000-0000-000003000000}"/>
  <mergeCells count="9">
    <mergeCell ref="A308:B308"/>
    <mergeCell ref="A316:B316"/>
    <mergeCell ref="A317:B317"/>
    <mergeCell ref="A1:J1"/>
    <mergeCell ref="A2:J2"/>
    <mergeCell ref="A15:C15"/>
    <mergeCell ref="D17:E17"/>
    <mergeCell ref="A25:A26"/>
    <mergeCell ref="A298:B298"/>
  </mergeCells>
  <pageMargins left="0.19685039370078741" right="0.19685039370078741" top="0.39370078740157483" bottom="0.19685039370078741" header="0.19685039370078741" footer="0.19685039370078741"/>
  <pageSetup scale="74" fitToHeight="0" orientation="landscape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6229-50EA-4C90-A8A1-893ABC86BC36}">
  <sheetPr>
    <pageSetUpPr fitToPage="1"/>
  </sheetPr>
  <dimension ref="A1:CG149"/>
  <sheetViews>
    <sheetView view="pageBreakPreview" topLeftCell="A54" zoomScale="85" zoomScaleNormal="70" zoomScaleSheetLayoutView="85" workbookViewId="0">
      <selection activeCell="T69" sqref="T69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2.7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216</v>
      </c>
      <c r="G13" s="214" t="s">
        <v>176</v>
      </c>
    </row>
    <row r="14" spans="1:85">
      <c r="A14" s="291" t="s">
        <v>177</v>
      </c>
      <c r="B14" s="291"/>
      <c r="D14" s="214" t="str">
        <f>+B13</f>
        <v>WH88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 t="s">
        <v>200</v>
      </c>
      <c r="B19" s="232"/>
      <c r="C19" s="232" t="s">
        <v>198</v>
      </c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/>
      <c r="W19" s="214">
        <v>19</v>
      </c>
      <c r="X19" s="214">
        <v>11</v>
      </c>
      <c r="Y19" s="214">
        <v>8.5</v>
      </c>
      <c r="Z19" s="214">
        <f>+W19*2.54</f>
        <v>48.26</v>
      </c>
      <c r="AA19" s="214">
        <f t="shared" ref="AA19:AB19" si="0">+X19*2.54</f>
        <v>27.94</v>
      </c>
      <c r="AB19" s="214">
        <f t="shared" si="0"/>
        <v>21.59</v>
      </c>
    </row>
    <row r="20" spans="1:28">
      <c r="A20" s="221">
        <v>1</v>
      </c>
      <c r="B20" s="221">
        <v>1</v>
      </c>
      <c r="C20" s="221" t="s">
        <v>190</v>
      </c>
      <c r="D20" s="221" t="s">
        <v>222</v>
      </c>
      <c r="E20" s="221" t="s">
        <v>261</v>
      </c>
      <c r="F20" s="221" t="s">
        <v>262</v>
      </c>
      <c r="G20" s="221">
        <v>2</v>
      </c>
      <c r="H20" s="221">
        <v>2</v>
      </c>
      <c r="I20" s="221"/>
      <c r="J20" s="221"/>
      <c r="K20" s="221"/>
      <c r="L20" s="221"/>
      <c r="M20" s="221"/>
      <c r="N20" s="221"/>
      <c r="O20" s="221"/>
      <c r="P20" s="221">
        <v>1</v>
      </c>
      <c r="Q20" s="221">
        <v>2</v>
      </c>
      <c r="R20" s="222">
        <f>+T20/P20</f>
        <v>0.22000000000000003</v>
      </c>
      <c r="S20" s="222">
        <f>+U20/P20</f>
        <v>0.46</v>
      </c>
      <c r="T20" s="222">
        <v>0.22000000000000003</v>
      </c>
      <c r="U20" s="222">
        <v>0.46</v>
      </c>
      <c r="V20" s="221" t="str">
        <f t="shared" ref="V20:V58" si="1">Z20&amp;"*"&amp;AA20&amp;"*"&amp;AB20</f>
        <v>25.4*22.86*8.89</v>
      </c>
      <c r="W20" s="223">
        <v>10</v>
      </c>
      <c r="X20" s="223">
        <v>9</v>
      </c>
      <c r="Y20" s="223">
        <v>3.5</v>
      </c>
      <c r="Z20" s="214">
        <f t="shared" ref="Z20:Z21" si="2">+W20*2.54</f>
        <v>25.4</v>
      </c>
      <c r="AA20" s="214">
        <f t="shared" ref="AA20:AA21" si="3">+X20*2.54</f>
        <v>22.86</v>
      </c>
      <c r="AB20" s="214">
        <f t="shared" ref="AB20:AB21" si="4">+Y20*2.54</f>
        <v>8.89</v>
      </c>
    </row>
    <row r="21" spans="1:28">
      <c r="A21" s="221">
        <v>2</v>
      </c>
      <c r="B21" s="221">
        <v>2</v>
      </c>
      <c r="C21" s="221" t="s">
        <v>190</v>
      </c>
      <c r="D21" s="221"/>
      <c r="E21" s="221"/>
      <c r="F21" s="221"/>
      <c r="G21" s="221">
        <v>5</v>
      </c>
      <c r="H21" s="221"/>
      <c r="I21" s="221">
        <v>5</v>
      </c>
      <c r="J21" s="221"/>
      <c r="K21" s="221"/>
      <c r="L21" s="221"/>
      <c r="M21" s="221"/>
      <c r="N21" s="221"/>
      <c r="O21" s="221"/>
      <c r="P21" s="221"/>
      <c r="Q21" s="221">
        <v>5</v>
      </c>
      <c r="R21" s="222"/>
      <c r="S21" s="222"/>
      <c r="T21" s="222">
        <v>0.54</v>
      </c>
      <c r="U21" s="222">
        <v>0.78</v>
      </c>
      <c r="V21" s="221" t="str">
        <f t="shared" si="1"/>
        <v>25.4*22.86*8.89</v>
      </c>
      <c r="W21" s="223">
        <v>10</v>
      </c>
      <c r="X21" s="223">
        <v>9</v>
      </c>
      <c r="Y21" s="223">
        <v>3.5</v>
      </c>
      <c r="Z21" s="214">
        <f t="shared" si="2"/>
        <v>25.4</v>
      </c>
      <c r="AA21" s="214">
        <f t="shared" si="3"/>
        <v>22.86</v>
      </c>
      <c r="AB21" s="214">
        <f t="shared" si="4"/>
        <v>8.89</v>
      </c>
    </row>
    <row r="22" spans="1:28">
      <c r="A22" s="230">
        <v>3</v>
      </c>
      <c r="B22" s="230">
        <v>3</v>
      </c>
      <c r="C22" s="230" t="s">
        <v>190</v>
      </c>
      <c r="D22" s="230"/>
      <c r="E22" s="230"/>
      <c r="F22" s="230"/>
      <c r="G22" s="230">
        <v>7</v>
      </c>
      <c r="H22" s="230"/>
      <c r="I22" s="230"/>
      <c r="J22" s="230">
        <v>7</v>
      </c>
      <c r="K22" s="230"/>
      <c r="L22" s="230"/>
      <c r="M22" s="230"/>
      <c r="N22" s="230"/>
      <c r="O22" s="230"/>
      <c r="P22" s="230"/>
      <c r="Q22" s="230">
        <v>7</v>
      </c>
      <c r="R22" s="222"/>
      <c r="S22" s="222"/>
      <c r="T22" s="231">
        <v>0.8</v>
      </c>
      <c r="U22" s="231">
        <v>1.04</v>
      </c>
      <c r="V22" s="221" t="str">
        <f t="shared" si="1"/>
        <v>25.4*22.86*8.89</v>
      </c>
      <c r="W22" s="223">
        <v>10</v>
      </c>
      <c r="X22" s="223">
        <v>9</v>
      </c>
      <c r="Y22" s="223">
        <v>3.5</v>
      </c>
      <c r="Z22" s="214">
        <f t="shared" ref="Z22:Z57" si="5">+W22*2.54</f>
        <v>25.4</v>
      </c>
      <c r="AA22" s="214">
        <f t="shared" ref="AA22:AA57" si="6">+X22*2.54</f>
        <v>22.86</v>
      </c>
      <c r="AB22" s="214">
        <f t="shared" ref="AB22:AB57" si="7">+Y22*2.54</f>
        <v>8.89</v>
      </c>
    </row>
    <row r="23" spans="1:28">
      <c r="A23" s="230" t="s">
        <v>194</v>
      </c>
      <c r="B23" s="230"/>
      <c r="C23" s="230" t="s">
        <v>198</v>
      </c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22"/>
      <c r="S23" s="222"/>
      <c r="T23" s="231"/>
      <c r="U23" s="231"/>
      <c r="V23" s="221"/>
      <c r="W23" s="223">
        <v>19</v>
      </c>
      <c r="X23" s="223">
        <v>11</v>
      </c>
      <c r="Y23" s="223">
        <v>4.5</v>
      </c>
      <c r="Z23" s="214">
        <f t="shared" si="5"/>
        <v>48.26</v>
      </c>
      <c r="AA23" s="214">
        <f t="shared" si="6"/>
        <v>27.94</v>
      </c>
      <c r="AB23" s="214">
        <f t="shared" si="7"/>
        <v>11.43</v>
      </c>
    </row>
    <row r="24" spans="1:28">
      <c r="A24" s="230">
        <v>4</v>
      </c>
      <c r="B24" s="230">
        <v>4</v>
      </c>
      <c r="C24" s="230" t="s">
        <v>190</v>
      </c>
      <c r="D24" s="230"/>
      <c r="E24" s="230"/>
      <c r="F24" s="230"/>
      <c r="G24" s="230">
        <v>6</v>
      </c>
      <c r="H24" s="230"/>
      <c r="I24" s="230"/>
      <c r="J24" s="230"/>
      <c r="K24" s="230">
        <v>6</v>
      </c>
      <c r="L24" s="230"/>
      <c r="M24" s="230"/>
      <c r="N24" s="230"/>
      <c r="O24" s="230"/>
      <c r="P24" s="230">
        <v>1</v>
      </c>
      <c r="Q24" s="230">
        <v>6</v>
      </c>
      <c r="R24" s="222">
        <f t="shared" ref="R21:R57" si="8">+T24/P24</f>
        <v>0.8</v>
      </c>
      <c r="S24" s="222">
        <f t="shared" ref="S21:S57" si="9">+U24/P24</f>
        <v>1.04</v>
      </c>
      <c r="T24" s="231">
        <v>0.8</v>
      </c>
      <c r="U24" s="231">
        <v>1.04</v>
      </c>
      <c r="V24" s="221" t="str">
        <f t="shared" si="1"/>
        <v>25.4*22.86*8.89</v>
      </c>
      <c r="W24" s="223">
        <v>10</v>
      </c>
      <c r="X24" s="223">
        <v>9</v>
      </c>
      <c r="Y24" s="223">
        <v>3.5</v>
      </c>
      <c r="Z24" s="214">
        <f t="shared" si="5"/>
        <v>25.4</v>
      </c>
      <c r="AA24" s="214">
        <f t="shared" si="6"/>
        <v>22.86</v>
      </c>
      <c r="AB24" s="214">
        <f t="shared" si="7"/>
        <v>8.89</v>
      </c>
    </row>
    <row r="25" spans="1:28">
      <c r="A25" s="230">
        <v>5</v>
      </c>
      <c r="B25" s="230">
        <v>5</v>
      </c>
      <c r="C25" s="230" t="s">
        <v>190</v>
      </c>
      <c r="D25" s="230"/>
      <c r="E25" s="230"/>
      <c r="F25" s="230"/>
      <c r="G25" s="230">
        <v>4</v>
      </c>
      <c r="H25" s="230"/>
      <c r="I25" s="230"/>
      <c r="J25" s="230"/>
      <c r="K25" s="230"/>
      <c r="L25" s="230">
        <v>4</v>
      </c>
      <c r="M25" s="230"/>
      <c r="N25" s="230"/>
      <c r="O25" s="230"/>
      <c r="P25" s="230"/>
      <c r="Q25" s="230">
        <v>4</v>
      </c>
      <c r="R25" s="222"/>
      <c r="S25" s="222"/>
      <c r="T25" s="231">
        <v>0.56000000000000005</v>
      </c>
      <c r="U25" s="231">
        <v>0.8</v>
      </c>
      <c r="V25" s="221" t="str">
        <f t="shared" si="1"/>
        <v>25.4*22.86*8.89</v>
      </c>
      <c r="W25" s="223">
        <v>10</v>
      </c>
      <c r="X25" s="223">
        <v>9</v>
      </c>
      <c r="Y25" s="223">
        <v>3.5</v>
      </c>
      <c r="Z25" s="214">
        <f t="shared" si="5"/>
        <v>25.4</v>
      </c>
      <c r="AA25" s="214">
        <f t="shared" si="6"/>
        <v>22.86</v>
      </c>
      <c r="AB25" s="214">
        <f t="shared" si="7"/>
        <v>8.89</v>
      </c>
    </row>
    <row r="26" spans="1:28">
      <c r="A26" s="230"/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22"/>
      <c r="S26" s="222"/>
      <c r="T26" s="231"/>
      <c r="U26" s="231"/>
      <c r="V26" s="221"/>
      <c r="W26" s="223"/>
      <c r="X26" s="223"/>
      <c r="Y26" s="223"/>
      <c r="Z26" s="214">
        <f t="shared" si="5"/>
        <v>0</v>
      </c>
      <c r="AA26" s="214">
        <f t="shared" si="6"/>
        <v>0</v>
      </c>
      <c r="AB26" s="214">
        <f t="shared" si="7"/>
        <v>0</v>
      </c>
    </row>
    <row r="27" spans="1:28">
      <c r="A27" s="230" t="s">
        <v>271</v>
      </c>
      <c r="B27" s="230"/>
      <c r="C27" s="230" t="s">
        <v>198</v>
      </c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2"/>
      <c r="S27" s="222"/>
      <c r="T27" s="231"/>
      <c r="U27" s="231"/>
      <c r="V27" s="221"/>
      <c r="W27" s="223">
        <v>19</v>
      </c>
      <c r="X27" s="223">
        <v>11</v>
      </c>
      <c r="Y27" s="223">
        <v>8.5</v>
      </c>
      <c r="Z27" s="214">
        <f t="shared" si="5"/>
        <v>48.26</v>
      </c>
      <c r="AA27" s="214">
        <f t="shared" si="6"/>
        <v>27.94</v>
      </c>
      <c r="AB27" s="214">
        <f t="shared" si="7"/>
        <v>21.59</v>
      </c>
    </row>
    <row r="28" spans="1:28">
      <c r="A28" s="230">
        <v>6</v>
      </c>
      <c r="B28" s="230">
        <v>6</v>
      </c>
      <c r="C28" s="230" t="s">
        <v>190</v>
      </c>
      <c r="D28" s="230" t="s">
        <v>222</v>
      </c>
      <c r="E28" s="230" t="s">
        <v>257</v>
      </c>
      <c r="F28" s="230" t="s">
        <v>258</v>
      </c>
      <c r="G28" s="230">
        <v>2</v>
      </c>
      <c r="H28" s="230">
        <v>2</v>
      </c>
      <c r="I28" s="230"/>
      <c r="J28" s="230"/>
      <c r="K28" s="230"/>
      <c r="L28" s="230"/>
      <c r="M28" s="230"/>
      <c r="N28" s="230"/>
      <c r="O28" s="230"/>
      <c r="P28" s="230">
        <v>1</v>
      </c>
      <c r="Q28" s="230">
        <v>2</v>
      </c>
      <c r="R28" s="222">
        <f t="shared" si="8"/>
        <v>0.22000000000000003</v>
      </c>
      <c r="S28" s="222">
        <f t="shared" si="9"/>
        <v>0.46</v>
      </c>
      <c r="T28" s="231">
        <v>0.22000000000000003</v>
      </c>
      <c r="U28" s="231">
        <v>0.46</v>
      </c>
      <c r="V28" s="221" t="str">
        <f t="shared" si="1"/>
        <v>25.4*22.86*8.89</v>
      </c>
      <c r="W28" s="223">
        <v>10</v>
      </c>
      <c r="X28" s="223">
        <v>9</v>
      </c>
      <c r="Y28" s="223">
        <v>3.5</v>
      </c>
      <c r="Z28" s="214">
        <f t="shared" si="5"/>
        <v>25.4</v>
      </c>
      <c r="AA28" s="214">
        <f t="shared" si="6"/>
        <v>22.86</v>
      </c>
      <c r="AB28" s="214">
        <f t="shared" si="7"/>
        <v>8.89</v>
      </c>
    </row>
    <row r="29" spans="1:28">
      <c r="A29" s="230">
        <v>7</v>
      </c>
      <c r="B29" s="230">
        <v>7</v>
      </c>
      <c r="C29" s="230" t="s">
        <v>190</v>
      </c>
      <c r="D29" s="230"/>
      <c r="E29" s="230"/>
      <c r="F29" s="230"/>
      <c r="G29" s="230">
        <v>5</v>
      </c>
      <c r="H29" s="230"/>
      <c r="I29" s="230">
        <v>5</v>
      </c>
      <c r="J29" s="230"/>
      <c r="K29" s="230"/>
      <c r="L29" s="230"/>
      <c r="M29" s="230"/>
      <c r="N29" s="230"/>
      <c r="O29" s="230"/>
      <c r="P29" s="230"/>
      <c r="Q29" s="230">
        <v>5</v>
      </c>
      <c r="R29" s="222"/>
      <c r="S29" s="222"/>
      <c r="T29" s="231">
        <v>0.54</v>
      </c>
      <c r="U29" s="231">
        <v>0.78</v>
      </c>
      <c r="V29" s="221" t="str">
        <f t="shared" si="1"/>
        <v>25.4*22.86*8.89</v>
      </c>
      <c r="W29" s="223">
        <v>10</v>
      </c>
      <c r="X29" s="223">
        <v>9</v>
      </c>
      <c r="Y29" s="223">
        <v>3.5</v>
      </c>
      <c r="Z29" s="214">
        <f t="shared" si="5"/>
        <v>25.4</v>
      </c>
      <c r="AA29" s="214">
        <f t="shared" si="6"/>
        <v>22.86</v>
      </c>
      <c r="AB29" s="214">
        <f t="shared" si="7"/>
        <v>8.89</v>
      </c>
    </row>
    <row r="30" spans="1:28">
      <c r="A30" s="230">
        <v>8</v>
      </c>
      <c r="B30" s="230">
        <v>8</v>
      </c>
      <c r="C30" s="230" t="s">
        <v>190</v>
      </c>
      <c r="D30" s="230"/>
      <c r="E30" s="230"/>
      <c r="F30" s="230"/>
      <c r="G30" s="230">
        <v>7</v>
      </c>
      <c r="H30" s="230"/>
      <c r="I30" s="230"/>
      <c r="J30" s="230">
        <v>7</v>
      </c>
      <c r="K30" s="230"/>
      <c r="L30" s="230"/>
      <c r="M30" s="230"/>
      <c r="N30" s="230"/>
      <c r="O30" s="230"/>
      <c r="P30" s="230"/>
      <c r="Q30" s="230">
        <v>7</v>
      </c>
      <c r="R30" s="222"/>
      <c r="S30" s="222"/>
      <c r="T30" s="231">
        <v>0.8</v>
      </c>
      <c r="U30" s="231">
        <v>1.04</v>
      </c>
      <c r="V30" s="221" t="str">
        <f t="shared" si="1"/>
        <v>25.4*22.86*8.89</v>
      </c>
      <c r="W30" s="223">
        <v>10</v>
      </c>
      <c r="X30" s="223">
        <v>9</v>
      </c>
      <c r="Y30" s="223">
        <v>3.5</v>
      </c>
      <c r="Z30" s="214">
        <f t="shared" si="5"/>
        <v>25.4</v>
      </c>
      <c r="AA30" s="214">
        <f t="shared" si="6"/>
        <v>22.86</v>
      </c>
      <c r="AB30" s="214">
        <f t="shared" si="7"/>
        <v>8.89</v>
      </c>
    </row>
    <row r="31" spans="1:28">
      <c r="A31" s="230" t="s">
        <v>195</v>
      </c>
      <c r="B31" s="230"/>
      <c r="C31" s="230" t="s">
        <v>198</v>
      </c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22"/>
      <c r="S31" s="222"/>
      <c r="T31" s="231"/>
      <c r="U31" s="231"/>
      <c r="V31" s="221"/>
      <c r="W31" s="223">
        <v>19</v>
      </c>
      <c r="X31" s="223">
        <v>11</v>
      </c>
      <c r="Y31" s="223">
        <v>4.5</v>
      </c>
      <c r="Z31" s="214">
        <f t="shared" si="5"/>
        <v>48.26</v>
      </c>
      <c r="AA31" s="214">
        <f t="shared" si="6"/>
        <v>27.94</v>
      </c>
      <c r="AB31" s="214">
        <f t="shared" si="7"/>
        <v>11.43</v>
      </c>
    </row>
    <row r="32" spans="1:28">
      <c r="A32" s="230">
        <v>9</v>
      </c>
      <c r="B32" s="230">
        <v>9</v>
      </c>
      <c r="C32" s="230" t="s">
        <v>190</v>
      </c>
      <c r="D32" s="230"/>
      <c r="E32" s="230"/>
      <c r="F32" s="230"/>
      <c r="G32" s="230">
        <v>6</v>
      </c>
      <c r="H32" s="230"/>
      <c r="I32" s="230"/>
      <c r="J32" s="230"/>
      <c r="K32" s="230">
        <v>6</v>
      </c>
      <c r="L32" s="230"/>
      <c r="M32" s="230"/>
      <c r="N32" s="230"/>
      <c r="O32" s="230"/>
      <c r="P32" s="230">
        <v>1</v>
      </c>
      <c r="Q32" s="230">
        <v>6</v>
      </c>
      <c r="R32" s="222">
        <f t="shared" si="8"/>
        <v>0.8</v>
      </c>
      <c r="S32" s="222">
        <f t="shared" si="9"/>
        <v>1.04</v>
      </c>
      <c r="T32" s="231">
        <v>0.8</v>
      </c>
      <c r="U32" s="231">
        <v>1.04</v>
      </c>
      <c r="V32" s="221" t="str">
        <f t="shared" si="1"/>
        <v>25.4*22.86*8.89</v>
      </c>
      <c r="W32" s="223">
        <v>10</v>
      </c>
      <c r="X32" s="223">
        <v>9</v>
      </c>
      <c r="Y32" s="223">
        <v>3.5</v>
      </c>
      <c r="Z32" s="214">
        <f t="shared" si="5"/>
        <v>25.4</v>
      </c>
      <c r="AA32" s="214">
        <f t="shared" si="6"/>
        <v>22.86</v>
      </c>
      <c r="AB32" s="214">
        <f t="shared" si="7"/>
        <v>8.89</v>
      </c>
    </row>
    <row r="33" spans="1:28">
      <c r="A33" s="230">
        <v>10</v>
      </c>
      <c r="B33" s="230">
        <v>10</v>
      </c>
      <c r="C33" s="230" t="s">
        <v>190</v>
      </c>
      <c r="D33" s="230"/>
      <c r="E33" s="230"/>
      <c r="F33" s="230"/>
      <c r="G33" s="230">
        <v>4</v>
      </c>
      <c r="H33" s="230"/>
      <c r="I33" s="230"/>
      <c r="J33" s="230"/>
      <c r="K33" s="230"/>
      <c r="L33" s="230">
        <v>4</v>
      </c>
      <c r="M33" s="230"/>
      <c r="N33" s="230"/>
      <c r="O33" s="230"/>
      <c r="P33" s="230"/>
      <c r="Q33" s="230">
        <v>4</v>
      </c>
      <c r="R33" s="222"/>
      <c r="S33" s="222"/>
      <c r="T33" s="231">
        <v>0.56000000000000005</v>
      </c>
      <c r="U33" s="231">
        <v>0.8</v>
      </c>
      <c r="V33" s="221" t="str">
        <f t="shared" si="1"/>
        <v>25.4*22.86*8.89</v>
      </c>
      <c r="W33" s="223">
        <v>10</v>
      </c>
      <c r="X33" s="223">
        <v>9</v>
      </c>
      <c r="Y33" s="223">
        <v>3.5</v>
      </c>
      <c r="Z33" s="214">
        <f t="shared" si="5"/>
        <v>25.4</v>
      </c>
      <c r="AA33" s="214">
        <f t="shared" si="6"/>
        <v>22.86</v>
      </c>
      <c r="AB33" s="214">
        <f t="shared" si="7"/>
        <v>8.89</v>
      </c>
    </row>
    <row r="34" spans="1:28">
      <c r="A34" s="230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22"/>
      <c r="S34" s="222"/>
      <c r="T34" s="231"/>
      <c r="U34" s="231"/>
      <c r="V34" s="221"/>
      <c r="W34" s="223"/>
      <c r="X34" s="223"/>
      <c r="Y34" s="223"/>
      <c r="Z34" s="214">
        <f t="shared" si="5"/>
        <v>0</v>
      </c>
      <c r="AA34" s="214">
        <f t="shared" si="6"/>
        <v>0</v>
      </c>
      <c r="AB34" s="214">
        <f t="shared" si="7"/>
        <v>0</v>
      </c>
    </row>
    <row r="35" spans="1:28">
      <c r="A35" s="230" t="s">
        <v>272</v>
      </c>
      <c r="B35" s="230"/>
      <c r="C35" s="230" t="s">
        <v>198</v>
      </c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22"/>
      <c r="S35" s="222"/>
      <c r="T35" s="231"/>
      <c r="U35" s="231"/>
      <c r="V35" s="221"/>
      <c r="W35" s="223">
        <v>10</v>
      </c>
      <c r="X35" s="223">
        <v>10</v>
      </c>
      <c r="Y35" s="223">
        <v>11.5</v>
      </c>
      <c r="Z35" s="214">
        <f t="shared" si="5"/>
        <v>25.4</v>
      </c>
      <c r="AA35" s="214">
        <f t="shared" si="6"/>
        <v>25.4</v>
      </c>
      <c r="AB35" s="214">
        <f t="shared" si="7"/>
        <v>29.21</v>
      </c>
    </row>
    <row r="36" spans="1:28">
      <c r="A36" s="230">
        <v>11</v>
      </c>
      <c r="B36" s="230">
        <v>11</v>
      </c>
      <c r="C36" s="230" t="s">
        <v>190</v>
      </c>
      <c r="D36" s="230" t="s">
        <v>230</v>
      </c>
      <c r="E36" s="230" t="s">
        <v>231</v>
      </c>
      <c r="F36" s="230" t="s">
        <v>232</v>
      </c>
      <c r="G36" s="230">
        <v>2</v>
      </c>
      <c r="H36" s="230">
        <v>2</v>
      </c>
      <c r="I36" s="230"/>
      <c r="J36" s="230"/>
      <c r="K36" s="230"/>
      <c r="L36" s="230"/>
      <c r="M36" s="230"/>
      <c r="N36" s="230"/>
      <c r="O36" s="230"/>
      <c r="P36" s="230">
        <v>1</v>
      </c>
      <c r="Q36" s="230">
        <v>2</v>
      </c>
      <c r="R36" s="222">
        <f t="shared" si="8"/>
        <v>0.2</v>
      </c>
      <c r="S36" s="222">
        <f t="shared" si="9"/>
        <v>0.44</v>
      </c>
      <c r="T36" s="231">
        <v>0.2</v>
      </c>
      <c r="U36" s="231">
        <v>0.44</v>
      </c>
      <c r="V36" s="221" t="str">
        <f t="shared" si="1"/>
        <v>22.86*22.86*8.89</v>
      </c>
      <c r="W36" s="223">
        <v>9</v>
      </c>
      <c r="X36" s="223">
        <v>9</v>
      </c>
      <c r="Y36" s="223">
        <v>3.5</v>
      </c>
      <c r="Z36" s="214">
        <f t="shared" si="5"/>
        <v>22.86</v>
      </c>
      <c r="AA36" s="214">
        <f t="shared" si="6"/>
        <v>22.86</v>
      </c>
      <c r="AB36" s="214">
        <f t="shared" si="7"/>
        <v>8.89</v>
      </c>
    </row>
    <row r="37" spans="1:28">
      <c r="A37" s="230">
        <v>12</v>
      </c>
      <c r="B37" s="230">
        <v>12</v>
      </c>
      <c r="C37" s="230" t="s">
        <v>190</v>
      </c>
      <c r="D37" s="230"/>
      <c r="E37" s="230"/>
      <c r="F37" s="230"/>
      <c r="G37" s="230">
        <v>5</v>
      </c>
      <c r="H37" s="230"/>
      <c r="I37" s="230">
        <v>5</v>
      </c>
      <c r="J37" s="230"/>
      <c r="K37" s="230"/>
      <c r="L37" s="230"/>
      <c r="M37" s="230"/>
      <c r="N37" s="230"/>
      <c r="O37" s="230"/>
      <c r="P37" s="230"/>
      <c r="Q37" s="230">
        <v>5</v>
      </c>
      <c r="R37" s="222"/>
      <c r="S37" s="222"/>
      <c r="T37" s="231">
        <v>0</v>
      </c>
      <c r="U37" s="231">
        <v>0</v>
      </c>
      <c r="V37" s="221" t="str">
        <f t="shared" si="1"/>
        <v>22.86*22.86*8.89</v>
      </c>
      <c r="W37" s="223">
        <v>9</v>
      </c>
      <c r="X37" s="223">
        <v>9</v>
      </c>
      <c r="Y37" s="223">
        <v>3.5</v>
      </c>
      <c r="Z37" s="214">
        <f t="shared" si="5"/>
        <v>22.86</v>
      </c>
      <c r="AA37" s="214">
        <f t="shared" si="6"/>
        <v>22.86</v>
      </c>
      <c r="AB37" s="214">
        <f t="shared" si="7"/>
        <v>8.89</v>
      </c>
    </row>
    <row r="38" spans="1:28">
      <c r="A38" s="230">
        <v>13</v>
      </c>
      <c r="B38" s="230">
        <v>13</v>
      </c>
      <c r="C38" s="230" t="s">
        <v>190</v>
      </c>
      <c r="D38" s="230"/>
      <c r="E38" s="230"/>
      <c r="F38" s="230"/>
      <c r="G38" s="230">
        <v>7</v>
      </c>
      <c r="H38" s="230"/>
      <c r="I38" s="230"/>
      <c r="J38" s="230">
        <v>7</v>
      </c>
      <c r="K38" s="230"/>
      <c r="L38" s="230"/>
      <c r="M38" s="230"/>
      <c r="N38" s="230"/>
      <c r="O38" s="230"/>
      <c r="P38" s="230"/>
      <c r="Q38" s="230">
        <v>7</v>
      </c>
      <c r="R38" s="222"/>
      <c r="S38" s="222"/>
      <c r="T38" s="231">
        <v>0</v>
      </c>
      <c r="U38" s="231">
        <v>0</v>
      </c>
      <c r="V38" s="221" t="str">
        <f t="shared" si="1"/>
        <v>22.86*22.86*8.89</v>
      </c>
      <c r="W38" s="223">
        <v>9</v>
      </c>
      <c r="X38" s="223">
        <v>9</v>
      </c>
      <c r="Y38" s="223">
        <v>3.5</v>
      </c>
      <c r="Z38" s="214">
        <f t="shared" si="5"/>
        <v>22.86</v>
      </c>
      <c r="AA38" s="214">
        <f t="shared" si="6"/>
        <v>22.86</v>
      </c>
      <c r="AB38" s="214">
        <f t="shared" si="7"/>
        <v>8.89</v>
      </c>
    </row>
    <row r="39" spans="1:28">
      <c r="A39" s="230" t="s">
        <v>273</v>
      </c>
      <c r="B39" s="230"/>
      <c r="C39" s="230" t="s">
        <v>198</v>
      </c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22"/>
      <c r="S39" s="222"/>
      <c r="T39" s="231"/>
      <c r="U39" s="231"/>
      <c r="V39" s="221"/>
      <c r="W39" s="223">
        <v>19</v>
      </c>
      <c r="X39" s="223">
        <v>11</v>
      </c>
      <c r="Y39" s="223">
        <v>4.5</v>
      </c>
      <c r="Z39" s="214">
        <f t="shared" si="5"/>
        <v>48.26</v>
      </c>
      <c r="AA39" s="214">
        <f t="shared" si="6"/>
        <v>27.94</v>
      </c>
      <c r="AB39" s="214">
        <f t="shared" si="7"/>
        <v>11.43</v>
      </c>
    </row>
    <row r="40" spans="1:28">
      <c r="A40" s="230">
        <v>14</v>
      </c>
      <c r="B40" s="230">
        <v>14</v>
      </c>
      <c r="C40" s="230" t="s">
        <v>190</v>
      </c>
      <c r="D40" s="230"/>
      <c r="E40" s="230"/>
      <c r="F40" s="230"/>
      <c r="G40" s="230">
        <v>6</v>
      </c>
      <c r="H40" s="230"/>
      <c r="I40" s="230"/>
      <c r="J40" s="230"/>
      <c r="K40" s="230">
        <v>6</v>
      </c>
      <c r="L40" s="230"/>
      <c r="M40" s="230"/>
      <c r="N40" s="230"/>
      <c r="O40" s="230"/>
      <c r="P40" s="230">
        <v>1</v>
      </c>
      <c r="Q40" s="230">
        <v>6</v>
      </c>
      <c r="R40" s="222">
        <f t="shared" si="8"/>
        <v>0.78</v>
      </c>
      <c r="S40" s="222">
        <f t="shared" si="9"/>
        <v>1.02</v>
      </c>
      <c r="T40" s="231">
        <v>0.78</v>
      </c>
      <c r="U40" s="231">
        <v>1.02</v>
      </c>
      <c r="V40" s="221" t="str">
        <f t="shared" si="1"/>
        <v>22.86*22.86*8.89</v>
      </c>
      <c r="W40" s="223">
        <v>9</v>
      </c>
      <c r="X40" s="223">
        <v>9</v>
      </c>
      <c r="Y40" s="223">
        <v>3.5</v>
      </c>
      <c r="Z40" s="214">
        <f t="shared" si="5"/>
        <v>22.86</v>
      </c>
      <c r="AA40" s="214">
        <f t="shared" si="6"/>
        <v>22.86</v>
      </c>
      <c r="AB40" s="214">
        <f t="shared" si="7"/>
        <v>8.89</v>
      </c>
    </row>
    <row r="41" spans="1:28">
      <c r="A41" s="230">
        <v>15</v>
      </c>
      <c r="B41" s="230">
        <v>15</v>
      </c>
      <c r="C41" s="230" t="s">
        <v>190</v>
      </c>
      <c r="D41" s="230"/>
      <c r="E41" s="230"/>
      <c r="F41" s="230"/>
      <c r="G41" s="230">
        <v>4</v>
      </c>
      <c r="H41" s="230"/>
      <c r="I41" s="230"/>
      <c r="J41" s="230"/>
      <c r="K41" s="230"/>
      <c r="L41" s="230">
        <v>4</v>
      </c>
      <c r="M41" s="230"/>
      <c r="N41" s="230"/>
      <c r="O41" s="230"/>
      <c r="P41" s="230"/>
      <c r="Q41" s="230">
        <v>4</v>
      </c>
      <c r="R41" s="222"/>
      <c r="S41" s="222"/>
      <c r="T41" s="231">
        <v>0</v>
      </c>
      <c r="U41" s="231">
        <v>0</v>
      </c>
      <c r="V41" s="221" t="str">
        <f t="shared" si="1"/>
        <v>22.86*22.86*8.89</v>
      </c>
      <c r="W41" s="223">
        <v>9</v>
      </c>
      <c r="X41" s="223">
        <v>9</v>
      </c>
      <c r="Y41" s="223">
        <v>3.5</v>
      </c>
      <c r="Z41" s="214">
        <f t="shared" si="5"/>
        <v>22.86</v>
      </c>
      <c r="AA41" s="214">
        <f t="shared" si="6"/>
        <v>22.86</v>
      </c>
      <c r="AB41" s="214">
        <f t="shared" si="7"/>
        <v>8.89</v>
      </c>
    </row>
    <row r="42" spans="1:28">
      <c r="A42" s="230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22"/>
      <c r="S42" s="222"/>
      <c r="T42" s="231"/>
      <c r="U42" s="231"/>
      <c r="V42" s="221"/>
      <c r="W42" s="223"/>
      <c r="X42" s="223"/>
      <c r="Y42" s="223"/>
      <c r="Z42" s="214">
        <f t="shared" si="5"/>
        <v>0</v>
      </c>
      <c r="AA42" s="214">
        <f t="shared" si="6"/>
        <v>0</v>
      </c>
      <c r="AB42" s="214">
        <f t="shared" si="7"/>
        <v>0</v>
      </c>
    </row>
    <row r="43" spans="1:28">
      <c r="A43" s="230" t="s">
        <v>274</v>
      </c>
      <c r="B43" s="230"/>
      <c r="C43" s="230" t="s">
        <v>198</v>
      </c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22"/>
      <c r="S43" s="222"/>
      <c r="T43" s="231"/>
      <c r="U43" s="231"/>
      <c r="V43" s="221"/>
      <c r="W43" s="223">
        <v>19</v>
      </c>
      <c r="X43" s="223">
        <v>11</v>
      </c>
      <c r="Y43" s="223">
        <v>8.5</v>
      </c>
      <c r="Z43" s="214">
        <f t="shared" si="5"/>
        <v>48.26</v>
      </c>
      <c r="AA43" s="214">
        <f t="shared" si="6"/>
        <v>27.94</v>
      </c>
      <c r="AB43" s="214">
        <f t="shared" si="7"/>
        <v>21.59</v>
      </c>
    </row>
    <row r="44" spans="1:28">
      <c r="A44" s="230">
        <v>16</v>
      </c>
      <c r="B44" s="230">
        <v>16</v>
      </c>
      <c r="C44" s="230" t="s">
        <v>190</v>
      </c>
      <c r="D44" s="230" t="s">
        <v>226</v>
      </c>
      <c r="E44" s="230" t="s">
        <v>261</v>
      </c>
      <c r="F44" s="230" t="s">
        <v>262</v>
      </c>
      <c r="G44" s="230">
        <v>2</v>
      </c>
      <c r="H44" s="230">
        <v>2</v>
      </c>
      <c r="I44" s="230"/>
      <c r="J44" s="230"/>
      <c r="K44" s="230"/>
      <c r="L44" s="230"/>
      <c r="M44" s="230"/>
      <c r="N44" s="230"/>
      <c r="O44" s="230"/>
      <c r="P44" s="230">
        <v>1</v>
      </c>
      <c r="Q44" s="230">
        <v>2</v>
      </c>
      <c r="R44" s="222">
        <f t="shared" si="8"/>
        <v>0.24</v>
      </c>
      <c r="S44" s="222">
        <f t="shared" si="9"/>
        <v>0.48</v>
      </c>
      <c r="T44" s="231">
        <v>0.24</v>
      </c>
      <c r="U44" s="231">
        <v>0.48</v>
      </c>
      <c r="V44" s="221" t="str">
        <f t="shared" si="1"/>
        <v>25.4*22.86*8.89</v>
      </c>
      <c r="W44" s="223">
        <v>10</v>
      </c>
      <c r="X44" s="223">
        <v>9</v>
      </c>
      <c r="Y44" s="223">
        <v>3.5</v>
      </c>
      <c r="Z44" s="214">
        <f t="shared" si="5"/>
        <v>25.4</v>
      </c>
      <c r="AA44" s="214">
        <f t="shared" si="6"/>
        <v>22.86</v>
      </c>
      <c r="AB44" s="214">
        <f t="shared" si="7"/>
        <v>8.89</v>
      </c>
    </row>
    <row r="45" spans="1:28">
      <c r="A45" s="230">
        <v>17</v>
      </c>
      <c r="B45" s="230">
        <v>17</v>
      </c>
      <c r="C45" s="230" t="s">
        <v>190</v>
      </c>
      <c r="D45" s="230"/>
      <c r="E45" s="230"/>
      <c r="F45" s="230"/>
      <c r="G45" s="230">
        <v>5</v>
      </c>
      <c r="H45" s="230"/>
      <c r="I45" s="230">
        <v>5</v>
      </c>
      <c r="J45" s="230"/>
      <c r="K45" s="230"/>
      <c r="L45" s="230"/>
      <c r="M45" s="230"/>
      <c r="N45" s="230"/>
      <c r="O45" s="230"/>
      <c r="P45" s="230"/>
      <c r="Q45" s="230">
        <v>5</v>
      </c>
      <c r="R45" s="222"/>
      <c r="S45" s="222"/>
      <c r="T45" s="231">
        <v>0</v>
      </c>
      <c r="U45" s="231">
        <v>0</v>
      </c>
      <c r="V45" s="221" t="str">
        <f t="shared" si="1"/>
        <v>25.4*22.86*8.89</v>
      </c>
      <c r="W45" s="223">
        <v>10</v>
      </c>
      <c r="X45" s="223">
        <v>9</v>
      </c>
      <c r="Y45" s="223">
        <v>3.5</v>
      </c>
      <c r="Z45" s="214">
        <f t="shared" si="5"/>
        <v>25.4</v>
      </c>
      <c r="AA45" s="214">
        <f t="shared" si="6"/>
        <v>22.86</v>
      </c>
      <c r="AB45" s="214">
        <f t="shared" si="7"/>
        <v>8.89</v>
      </c>
    </row>
    <row r="46" spans="1:28">
      <c r="A46" s="230">
        <v>18</v>
      </c>
      <c r="B46" s="230">
        <v>18</v>
      </c>
      <c r="C46" s="230" t="s">
        <v>190</v>
      </c>
      <c r="D46" s="230"/>
      <c r="E46" s="230"/>
      <c r="F46" s="230"/>
      <c r="G46" s="230">
        <v>7</v>
      </c>
      <c r="H46" s="230"/>
      <c r="I46" s="230"/>
      <c r="J46" s="230">
        <v>7</v>
      </c>
      <c r="K46" s="230"/>
      <c r="L46" s="230"/>
      <c r="M46" s="230"/>
      <c r="N46" s="230"/>
      <c r="O46" s="230"/>
      <c r="P46" s="230"/>
      <c r="Q46" s="230">
        <v>7</v>
      </c>
      <c r="R46" s="222"/>
      <c r="S46" s="222"/>
      <c r="T46" s="231">
        <v>0</v>
      </c>
      <c r="U46" s="231">
        <v>0</v>
      </c>
      <c r="V46" s="221" t="str">
        <f t="shared" si="1"/>
        <v>25.4*22.86*8.89</v>
      </c>
      <c r="W46" s="223">
        <v>10</v>
      </c>
      <c r="X46" s="223">
        <v>9</v>
      </c>
      <c r="Y46" s="223">
        <v>3.5</v>
      </c>
      <c r="Z46" s="214">
        <f t="shared" si="5"/>
        <v>25.4</v>
      </c>
      <c r="AA46" s="214">
        <f t="shared" si="6"/>
        <v>22.86</v>
      </c>
      <c r="AB46" s="214">
        <f t="shared" si="7"/>
        <v>8.89</v>
      </c>
    </row>
    <row r="47" spans="1:28">
      <c r="A47" s="230" t="s">
        <v>275</v>
      </c>
      <c r="B47" s="230"/>
      <c r="C47" s="230" t="s">
        <v>198</v>
      </c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22"/>
      <c r="S47" s="222"/>
      <c r="T47" s="231"/>
      <c r="U47" s="231"/>
      <c r="V47" s="221"/>
      <c r="W47" s="223">
        <v>19</v>
      </c>
      <c r="X47" s="223">
        <v>11</v>
      </c>
      <c r="Y47" s="223">
        <v>4.5</v>
      </c>
      <c r="Z47" s="214">
        <f t="shared" si="5"/>
        <v>48.26</v>
      </c>
      <c r="AA47" s="214">
        <f t="shared" si="6"/>
        <v>27.94</v>
      </c>
      <c r="AB47" s="214">
        <f t="shared" si="7"/>
        <v>11.43</v>
      </c>
    </row>
    <row r="48" spans="1:28">
      <c r="A48" s="230">
        <v>19</v>
      </c>
      <c r="B48" s="230">
        <v>19</v>
      </c>
      <c r="C48" s="230" t="s">
        <v>190</v>
      </c>
      <c r="D48" s="230"/>
      <c r="E48" s="230"/>
      <c r="F48" s="230"/>
      <c r="G48" s="230">
        <v>6</v>
      </c>
      <c r="H48" s="230"/>
      <c r="I48" s="230"/>
      <c r="J48" s="230"/>
      <c r="K48" s="230">
        <v>6</v>
      </c>
      <c r="L48" s="230"/>
      <c r="M48" s="230"/>
      <c r="N48" s="230"/>
      <c r="O48" s="230"/>
      <c r="P48" s="230">
        <v>1</v>
      </c>
      <c r="Q48" s="230">
        <v>6</v>
      </c>
      <c r="R48" s="222">
        <f t="shared" si="8"/>
        <v>0.84000000000000008</v>
      </c>
      <c r="S48" s="222">
        <f t="shared" si="9"/>
        <v>1.08</v>
      </c>
      <c r="T48" s="231">
        <v>0.84000000000000008</v>
      </c>
      <c r="U48" s="231">
        <v>1.08</v>
      </c>
      <c r="V48" s="221" t="str">
        <f t="shared" si="1"/>
        <v>25.4*22.86*8.89</v>
      </c>
      <c r="W48" s="223">
        <v>10</v>
      </c>
      <c r="X48" s="223">
        <v>9</v>
      </c>
      <c r="Y48" s="223">
        <v>3.5</v>
      </c>
      <c r="Z48" s="214">
        <f t="shared" si="5"/>
        <v>25.4</v>
      </c>
      <c r="AA48" s="214">
        <f t="shared" si="6"/>
        <v>22.86</v>
      </c>
      <c r="AB48" s="214">
        <f t="shared" si="7"/>
        <v>8.89</v>
      </c>
    </row>
    <row r="49" spans="1:28">
      <c r="A49" s="230">
        <v>20</v>
      </c>
      <c r="B49" s="230">
        <v>20</v>
      </c>
      <c r="C49" s="230" t="s">
        <v>190</v>
      </c>
      <c r="D49" s="230"/>
      <c r="E49" s="230"/>
      <c r="F49" s="230"/>
      <c r="G49" s="230">
        <v>4</v>
      </c>
      <c r="H49" s="230"/>
      <c r="I49" s="230"/>
      <c r="J49" s="230"/>
      <c r="K49" s="230"/>
      <c r="L49" s="230">
        <v>4</v>
      </c>
      <c r="M49" s="230"/>
      <c r="N49" s="230"/>
      <c r="O49" s="230"/>
      <c r="P49" s="230"/>
      <c r="Q49" s="230">
        <v>4</v>
      </c>
      <c r="R49" s="222"/>
      <c r="S49" s="222"/>
      <c r="T49" s="231">
        <v>0</v>
      </c>
      <c r="U49" s="231">
        <v>0</v>
      </c>
      <c r="V49" s="221" t="str">
        <f t="shared" si="1"/>
        <v>25.4*22.86*8.89</v>
      </c>
      <c r="W49" s="223">
        <v>10</v>
      </c>
      <c r="X49" s="223">
        <v>9</v>
      </c>
      <c r="Y49" s="223">
        <v>3.5</v>
      </c>
      <c r="Z49" s="214">
        <f t="shared" si="5"/>
        <v>25.4</v>
      </c>
      <c r="AA49" s="214">
        <f t="shared" si="6"/>
        <v>22.86</v>
      </c>
      <c r="AB49" s="214">
        <f t="shared" si="7"/>
        <v>8.89</v>
      </c>
    </row>
    <row r="50" spans="1:28">
      <c r="A50" s="230"/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22"/>
      <c r="S50" s="222"/>
      <c r="T50" s="231"/>
      <c r="U50" s="231"/>
      <c r="V50" s="221"/>
      <c r="W50" s="223"/>
      <c r="X50" s="223"/>
      <c r="Y50" s="223"/>
      <c r="Z50" s="214">
        <f t="shared" si="5"/>
        <v>0</v>
      </c>
      <c r="AA50" s="214">
        <f t="shared" si="6"/>
        <v>0</v>
      </c>
      <c r="AB50" s="214">
        <f t="shared" si="7"/>
        <v>0</v>
      </c>
    </row>
    <row r="51" spans="1:28">
      <c r="A51" s="230" t="s">
        <v>276</v>
      </c>
      <c r="B51" s="230"/>
      <c r="C51" s="230" t="s">
        <v>198</v>
      </c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22"/>
      <c r="S51" s="222"/>
      <c r="T51" s="231"/>
      <c r="U51" s="231"/>
      <c r="V51" s="221"/>
      <c r="W51" s="223">
        <v>19</v>
      </c>
      <c r="X51" s="223">
        <v>11</v>
      </c>
      <c r="Y51" s="223">
        <v>8.5</v>
      </c>
      <c r="Z51" s="214">
        <f t="shared" si="5"/>
        <v>48.26</v>
      </c>
      <c r="AA51" s="214">
        <f t="shared" si="6"/>
        <v>27.94</v>
      </c>
      <c r="AB51" s="214">
        <f t="shared" si="7"/>
        <v>21.59</v>
      </c>
    </row>
    <row r="52" spans="1:28">
      <c r="A52" s="230">
        <v>21</v>
      </c>
      <c r="B52" s="230">
        <v>21</v>
      </c>
      <c r="C52" s="230" t="s">
        <v>190</v>
      </c>
      <c r="D52" s="230" t="s">
        <v>226</v>
      </c>
      <c r="E52" s="230" t="s">
        <v>257</v>
      </c>
      <c r="F52" s="230" t="s">
        <v>258</v>
      </c>
      <c r="G52" s="230">
        <v>2</v>
      </c>
      <c r="H52" s="230">
        <v>2</v>
      </c>
      <c r="I52" s="230"/>
      <c r="J52" s="230"/>
      <c r="K52" s="230"/>
      <c r="L52" s="230"/>
      <c r="M52" s="230"/>
      <c r="N52" s="230"/>
      <c r="O52" s="230"/>
      <c r="P52" s="230">
        <v>1</v>
      </c>
      <c r="Q52" s="230">
        <v>2</v>
      </c>
      <c r="R52" s="222">
        <f t="shared" si="8"/>
        <v>0.24</v>
      </c>
      <c r="S52" s="222">
        <f t="shared" si="9"/>
        <v>0.48</v>
      </c>
      <c r="T52" s="231">
        <v>0.24</v>
      </c>
      <c r="U52" s="231">
        <v>0.48</v>
      </c>
      <c r="V52" s="221" t="str">
        <f t="shared" si="1"/>
        <v>25.4*22.86*8.89</v>
      </c>
      <c r="W52" s="223">
        <v>10</v>
      </c>
      <c r="X52" s="223">
        <v>9</v>
      </c>
      <c r="Y52" s="223">
        <v>3.5</v>
      </c>
      <c r="Z52" s="214">
        <f t="shared" si="5"/>
        <v>25.4</v>
      </c>
      <c r="AA52" s="214">
        <f t="shared" si="6"/>
        <v>22.86</v>
      </c>
      <c r="AB52" s="214">
        <f t="shared" si="7"/>
        <v>8.89</v>
      </c>
    </row>
    <row r="53" spans="1:28">
      <c r="A53" s="230">
        <v>22</v>
      </c>
      <c r="B53" s="230">
        <v>22</v>
      </c>
      <c r="C53" s="230" t="s">
        <v>190</v>
      </c>
      <c r="D53" s="230"/>
      <c r="E53" s="230"/>
      <c r="F53" s="230"/>
      <c r="G53" s="230">
        <v>5</v>
      </c>
      <c r="H53" s="230"/>
      <c r="I53" s="230">
        <v>5</v>
      </c>
      <c r="J53" s="230"/>
      <c r="K53" s="230"/>
      <c r="L53" s="230"/>
      <c r="M53" s="230"/>
      <c r="N53" s="230"/>
      <c r="O53" s="230"/>
      <c r="P53" s="230"/>
      <c r="Q53" s="230">
        <v>5</v>
      </c>
      <c r="R53" s="222"/>
      <c r="S53" s="222"/>
      <c r="T53" s="231">
        <v>0</v>
      </c>
      <c r="U53" s="231">
        <v>0</v>
      </c>
      <c r="V53" s="221" t="str">
        <f t="shared" si="1"/>
        <v>25.4*22.86*8.89</v>
      </c>
      <c r="W53" s="223">
        <v>10</v>
      </c>
      <c r="X53" s="223">
        <v>9</v>
      </c>
      <c r="Y53" s="223">
        <v>3.5</v>
      </c>
      <c r="Z53" s="214">
        <f t="shared" si="5"/>
        <v>25.4</v>
      </c>
      <c r="AA53" s="214">
        <f t="shared" si="6"/>
        <v>22.86</v>
      </c>
      <c r="AB53" s="214">
        <f t="shared" si="7"/>
        <v>8.89</v>
      </c>
    </row>
    <row r="54" spans="1:28">
      <c r="A54" s="230">
        <v>23</v>
      </c>
      <c r="B54" s="230">
        <v>23</v>
      </c>
      <c r="C54" s="230" t="s">
        <v>190</v>
      </c>
      <c r="D54" s="230"/>
      <c r="E54" s="230"/>
      <c r="F54" s="230"/>
      <c r="G54" s="230">
        <v>7</v>
      </c>
      <c r="H54" s="230"/>
      <c r="I54" s="230"/>
      <c r="J54" s="230">
        <v>7</v>
      </c>
      <c r="K54" s="230"/>
      <c r="L54" s="230"/>
      <c r="M54" s="230"/>
      <c r="N54" s="230"/>
      <c r="O54" s="230"/>
      <c r="P54" s="230"/>
      <c r="Q54" s="230">
        <v>7</v>
      </c>
      <c r="R54" s="222"/>
      <c r="S54" s="222"/>
      <c r="T54" s="231">
        <v>0</v>
      </c>
      <c r="U54" s="231">
        <v>0</v>
      </c>
      <c r="V54" s="221" t="str">
        <f t="shared" si="1"/>
        <v>25.4*22.86*8.89</v>
      </c>
      <c r="W54" s="223">
        <v>10</v>
      </c>
      <c r="X54" s="223">
        <v>9</v>
      </c>
      <c r="Y54" s="223">
        <v>3.5</v>
      </c>
      <c r="Z54" s="214">
        <f t="shared" si="5"/>
        <v>25.4</v>
      </c>
      <c r="AA54" s="214">
        <f t="shared" si="6"/>
        <v>22.86</v>
      </c>
      <c r="AB54" s="214">
        <f t="shared" si="7"/>
        <v>8.89</v>
      </c>
    </row>
    <row r="55" spans="1:28">
      <c r="A55" s="230" t="s">
        <v>277</v>
      </c>
      <c r="B55" s="230"/>
      <c r="C55" s="230" t="s">
        <v>198</v>
      </c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22"/>
      <c r="S55" s="222"/>
      <c r="T55" s="231"/>
      <c r="U55" s="231"/>
      <c r="V55" s="221"/>
      <c r="W55" s="223">
        <v>19</v>
      </c>
      <c r="X55" s="223">
        <v>11</v>
      </c>
      <c r="Y55" s="223">
        <v>4.5</v>
      </c>
      <c r="Z55" s="214">
        <f t="shared" si="5"/>
        <v>48.26</v>
      </c>
      <c r="AA55" s="214">
        <f t="shared" si="6"/>
        <v>27.94</v>
      </c>
      <c r="AB55" s="214">
        <f t="shared" si="7"/>
        <v>11.43</v>
      </c>
    </row>
    <row r="56" spans="1:28">
      <c r="A56" s="230">
        <v>24</v>
      </c>
      <c r="B56" s="230">
        <v>24</v>
      </c>
      <c r="C56" s="230" t="s">
        <v>190</v>
      </c>
      <c r="D56" s="230"/>
      <c r="E56" s="230"/>
      <c r="F56" s="230"/>
      <c r="G56" s="230">
        <v>6</v>
      </c>
      <c r="H56" s="230"/>
      <c r="I56" s="230"/>
      <c r="J56" s="230"/>
      <c r="K56" s="230">
        <v>6</v>
      </c>
      <c r="L56" s="230"/>
      <c r="M56" s="230"/>
      <c r="N56" s="230"/>
      <c r="O56" s="230"/>
      <c r="P56" s="230">
        <v>1</v>
      </c>
      <c r="Q56" s="230">
        <v>6</v>
      </c>
      <c r="R56" s="222">
        <f t="shared" si="8"/>
        <v>0.84000000000000008</v>
      </c>
      <c r="S56" s="222">
        <f t="shared" si="9"/>
        <v>1.08</v>
      </c>
      <c r="T56" s="231">
        <v>0.84000000000000008</v>
      </c>
      <c r="U56" s="231">
        <v>1.08</v>
      </c>
      <c r="V56" s="221" t="str">
        <f t="shared" si="1"/>
        <v>25.4*22.86*8.89</v>
      </c>
      <c r="W56" s="223">
        <v>10</v>
      </c>
      <c r="X56" s="223">
        <v>9</v>
      </c>
      <c r="Y56" s="223">
        <v>3.5</v>
      </c>
      <c r="Z56" s="214">
        <f t="shared" si="5"/>
        <v>25.4</v>
      </c>
      <c r="AA56" s="214">
        <f t="shared" si="6"/>
        <v>22.86</v>
      </c>
      <c r="AB56" s="214">
        <f t="shared" si="7"/>
        <v>8.89</v>
      </c>
    </row>
    <row r="57" spans="1:28">
      <c r="A57" s="230">
        <v>25</v>
      </c>
      <c r="B57" s="230">
        <v>25</v>
      </c>
      <c r="C57" s="230" t="s">
        <v>190</v>
      </c>
      <c r="D57" s="230"/>
      <c r="E57" s="230"/>
      <c r="F57" s="230"/>
      <c r="G57" s="230">
        <v>4</v>
      </c>
      <c r="H57" s="230"/>
      <c r="I57" s="230"/>
      <c r="J57" s="230"/>
      <c r="K57" s="230"/>
      <c r="L57" s="230">
        <v>4</v>
      </c>
      <c r="M57" s="230"/>
      <c r="N57" s="230"/>
      <c r="O57" s="230"/>
      <c r="P57" s="230"/>
      <c r="Q57" s="230">
        <v>4</v>
      </c>
      <c r="R57" s="222"/>
      <c r="S57" s="222"/>
      <c r="T57" s="231">
        <v>0</v>
      </c>
      <c r="U57" s="231">
        <v>0</v>
      </c>
      <c r="V57" s="221" t="str">
        <f t="shared" si="1"/>
        <v>25.4*22.86*8.89</v>
      </c>
      <c r="W57" s="223">
        <v>10</v>
      </c>
      <c r="X57" s="223">
        <v>9</v>
      </c>
      <c r="Y57" s="223">
        <v>3.5</v>
      </c>
      <c r="Z57" s="214">
        <f t="shared" si="5"/>
        <v>25.4</v>
      </c>
      <c r="AA57" s="214">
        <f t="shared" si="6"/>
        <v>22.86</v>
      </c>
      <c r="AB57" s="214">
        <f t="shared" si="7"/>
        <v>8.89</v>
      </c>
    </row>
    <row r="58" spans="1:28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1"/>
      <c r="S58" s="231"/>
      <c r="T58" s="231"/>
      <c r="U58" s="231"/>
      <c r="V58" s="221"/>
      <c r="W58" s="223"/>
      <c r="X58" s="223"/>
      <c r="Y58" s="223"/>
    </row>
    <row r="59" spans="1:28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22"/>
      <c r="S59" s="222"/>
      <c r="T59" s="231"/>
      <c r="U59" s="231"/>
      <c r="V59" s="230"/>
    </row>
    <row r="60" spans="1:28" s="216" customFormat="1" ht="14.25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>
        <f>SUM(N20:N59)</f>
        <v>0</v>
      </c>
      <c r="O60" s="232">
        <f>SUM(O20:O59)</f>
        <v>0</v>
      </c>
      <c r="P60" s="232">
        <f>SUM(P20:P59)</f>
        <v>10</v>
      </c>
      <c r="Q60" s="232">
        <f>SUM(Q20:Q59)</f>
        <v>120</v>
      </c>
      <c r="R60" s="232"/>
      <c r="S60" s="305"/>
      <c r="T60" s="232">
        <f>SUM(T20:T59)</f>
        <v>8.98</v>
      </c>
      <c r="U60" s="305">
        <f>SUM(U20:U59)</f>
        <v>12.82</v>
      </c>
      <c r="V60" s="232"/>
    </row>
    <row r="61" spans="1:28" s="216" customFormat="1" ht="14.25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</row>
    <row r="62" spans="1:28">
      <c r="A62" s="223"/>
      <c r="B62" s="223"/>
      <c r="C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4"/>
      <c r="S62" s="224"/>
      <c r="T62" s="224"/>
      <c r="U62" s="224"/>
      <c r="V62" s="215"/>
    </row>
    <row r="63" spans="1:28">
      <c r="C63" s="234" t="s">
        <v>191</v>
      </c>
      <c r="D63" s="234" t="s">
        <v>181</v>
      </c>
      <c r="E63" s="234" t="s">
        <v>192</v>
      </c>
      <c r="F63" s="234" t="s">
        <v>193</v>
      </c>
      <c r="G63" s="234" t="s">
        <v>59</v>
      </c>
      <c r="H63" s="234" t="s">
        <v>27</v>
      </c>
      <c r="I63" s="234" t="s">
        <v>28</v>
      </c>
      <c r="J63" s="234" t="s">
        <v>29</v>
      </c>
      <c r="K63" s="234" t="s">
        <v>30</v>
      </c>
      <c r="L63" s="234" t="s">
        <v>145</v>
      </c>
      <c r="M63" s="234"/>
      <c r="N63" s="234"/>
      <c r="O63" s="234"/>
      <c r="P63" s="219" t="s">
        <v>31</v>
      </c>
      <c r="Q63" s="219" t="s">
        <v>32</v>
      </c>
    </row>
    <row r="64" spans="1:28">
      <c r="C64" s="235" t="s">
        <v>216</v>
      </c>
      <c r="D64" s="235" t="s">
        <v>222</v>
      </c>
      <c r="E64" s="235" t="s">
        <v>224</v>
      </c>
      <c r="F64" s="235" t="s">
        <v>262</v>
      </c>
      <c r="G64" s="230">
        <v>2</v>
      </c>
      <c r="H64" s="230">
        <v>5</v>
      </c>
      <c r="I64" s="230">
        <v>7</v>
      </c>
      <c r="J64" s="230">
        <v>6</v>
      </c>
      <c r="K64" s="230">
        <v>4</v>
      </c>
      <c r="L64" s="230"/>
      <c r="M64" s="234"/>
      <c r="N64" s="234"/>
      <c r="O64" s="234"/>
      <c r="P64" s="235">
        <v>2</v>
      </c>
      <c r="Q64" s="235">
        <v>24</v>
      </c>
      <c r="W64" s="214">
        <f>+SUM(G64:K64)</f>
        <v>24</v>
      </c>
      <c r="X64" s="214">
        <f>+Q64-W64</f>
        <v>0</v>
      </c>
    </row>
    <row r="65" spans="3:17">
      <c r="C65" s="235" t="s">
        <v>216</v>
      </c>
      <c r="D65" s="235" t="s">
        <v>222</v>
      </c>
      <c r="E65" s="235" t="s">
        <v>223</v>
      </c>
      <c r="F65" s="235" t="s">
        <v>258</v>
      </c>
      <c r="G65" s="230">
        <v>2</v>
      </c>
      <c r="H65" s="230">
        <v>5</v>
      </c>
      <c r="I65" s="230">
        <v>7</v>
      </c>
      <c r="J65" s="230">
        <v>6</v>
      </c>
      <c r="K65" s="230">
        <v>4</v>
      </c>
      <c r="L65" s="230"/>
      <c r="M65" s="234"/>
      <c r="N65" s="234"/>
      <c r="O65" s="234"/>
      <c r="P65" s="235">
        <v>2</v>
      </c>
      <c r="Q65" s="235">
        <v>24</v>
      </c>
    </row>
    <row r="66" spans="3:17">
      <c r="C66" s="235" t="s">
        <v>216</v>
      </c>
      <c r="D66" s="235" t="s">
        <v>230</v>
      </c>
      <c r="E66" s="235" t="s">
        <v>220</v>
      </c>
      <c r="F66" s="235" t="s">
        <v>232</v>
      </c>
      <c r="G66" s="230">
        <v>2</v>
      </c>
      <c r="H66" s="230">
        <v>5</v>
      </c>
      <c r="I66" s="230">
        <v>7</v>
      </c>
      <c r="J66" s="230">
        <v>6</v>
      </c>
      <c r="K66" s="230">
        <v>4</v>
      </c>
      <c r="L66" s="230"/>
      <c r="M66" s="234"/>
      <c r="N66" s="234"/>
      <c r="O66" s="234"/>
      <c r="P66" s="235">
        <v>2</v>
      </c>
      <c r="Q66" s="235">
        <v>24</v>
      </c>
    </row>
    <row r="67" spans="3:17">
      <c r="C67" s="235" t="s">
        <v>216</v>
      </c>
      <c r="D67" s="235" t="s">
        <v>226</v>
      </c>
      <c r="E67" s="235" t="s">
        <v>224</v>
      </c>
      <c r="F67" s="235" t="s">
        <v>262</v>
      </c>
      <c r="G67" s="230">
        <v>2</v>
      </c>
      <c r="H67" s="230">
        <v>5</v>
      </c>
      <c r="I67" s="230">
        <v>7</v>
      </c>
      <c r="J67" s="230">
        <v>6</v>
      </c>
      <c r="K67" s="230">
        <v>4</v>
      </c>
      <c r="L67" s="230"/>
      <c r="M67" s="234"/>
      <c r="N67" s="234"/>
      <c r="O67" s="234"/>
      <c r="P67" s="235">
        <v>2</v>
      </c>
      <c r="Q67" s="235">
        <v>24</v>
      </c>
    </row>
    <row r="68" spans="3:17">
      <c r="C68" s="235" t="s">
        <v>216</v>
      </c>
      <c r="D68" s="235" t="s">
        <v>226</v>
      </c>
      <c r="E68" s="235" t="s">
        <v>223</v>
      </c>
      <c r="F68" s="235" t="s">
        <v>258</v>
      </c>
      <c r="G68" s="230">
        <v>2</v>
      </c>
      <c r="H68" s="230">
        <v>5</v>
      </c>
      <c r="I68" s="230">
        <v>7</v>
      </c>
      <c r="J68" s="230">
        <v>6</v>
      </c>
      <c r="K68" s="230">
        <v>4</v>
      </c>
      <c r="L68" s="230"/>
      <c r="M68" s="234"/>
      <c r="N68" s="234"/>
      <c r="O68" s="234"/>
      <c r="P68" s="235">
        <v>2</v>
      </c>
      <c r="Q68" s="235">
        <v>24</v>
      </c>
    </row>
    <row r="69" spans="3:17">
      <c r="C69" s="235"/>
      <c r="D69" s="235"/>
      <c r="E69" s="235"/>
      <c r="F69" s="235"/>
      <c r="G69" s="230"/>
      <c r="H69" s="230"/>
      <c r="I69" s="230"/>
      <c r="J69" s="230"/>
      <c r="K69" s="230"/>
      <c r="L69" s="234"/>
      <c r="M69" s="234"/>
      <c r="N69" s="234"/>
      <c r="O69" s="234"/>
      <c r="P69" s="235"/>
      <c r="Q69" s="235"/>
    </row>
    <row r="70" spans="3:17"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</row>
    <row r="71" spans="3:17">
      <c r="C71" s="215"/>
      <c r="D71" s="215"/>
      <c r="E71" s="215"/>
      <c r="F71" s="215"/>
      <c r="G71" s="215"/>
      <c r="H71" s="215"/>
      <c r="I71" s="215"/>
      <c r="J71" s="218" t="s">
        <v>33</v>
      </c>
      <c r="K71" s="215"/>
      <c r="L71" s="218"/>
      <c r="M71" s="218"/>
      <c r="N71" s="218"/>
      <c r="O71" s="218"/>
      <c r="P71" s="218">
        <f>SUM(P64:P69)</f>
        <v>10</v>
      </c>
      <c r="Q71" s="218">
        <f>SUM(Q64:Q69)</f>
        <v>120</v>
      </c>
    </row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T62" xr:uid="{00000000-0009-0000-0000-000004000000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48402777800000002" bottom="0.48402777800000002" header="0.51180555555555496" footer="0.51180555555555496"/>
  <pageSetup scale="54" fitToHeight="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702D-D607-4B38-9E40-BA0BB1867632}">
  <sheetPr>
    <pageSetUpPr fitToPage="1"/>
  </sheetPr>
  <dimension ref="A1:CG149"/>
  <sheetViews>
    <sheetView view="pageBreakPreview" topLeftCell="A51" zoomScale="70" zoomScaleNormal="70" zoomScaleSheetLayoutView="70" workbookViewId="0">
      <selection activeCell="T69" sqref="T69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2.7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216</v>
      </c>
      <c r="G13" s="214" t="s">
        <v>176</v>
      </c>
    </row>
    <row r="14" spans="1:85">
      <c r="A14" s="291" t="s">
        <v>177</v>
      </c>
      <c r="B14" s="291"/>
      <c r="D14" s="214" t="str">
        <f>+B13</f>
        <v>WH88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 t="s">
        <v>200</v>
      </c>
      <c r="B19" s="232"/>
      <c r="C19" s="232" t="s">
        <v>198</v>
      </c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/>
      <c r="W19" s="214">
        <v>19</v>
      </c>
      <c r="X19" s="214">
        <v>11</v>
      </c>
      <c r="Y19" s="214">
        <v>8.5</v>
      </c>
      <c r="Z19" s="214">
        <f>+W19*2.54</f>
        <v>48.26</v>
      </c>
      <c r="AA19" s="214">
        <f t="shared" ref="AA19:AB34" si="0">+X19*2.54</f>
        <v>27.94</v>
      </c>
      <c r="AB19" s="214">
        <f t="shared" si="0"/>
        <v>21.59</v>
      </c>
    </row>
    <row r="20" spans="1:28">
      <c r="A20" s="221">
        <v>1</v>
      </c>
      <c r="B20" s="221">
        <v>1</v>
      </c>
      <c r="C20" s="221" t="s">
        <v>190</v>
      </c>
      <c r="D20" s="221" t="s">
        <v>222</v>
      </c>
      <c r="E20" s="221" t="s">
        <v>261</v>
      </c>
      <c r="F20" s="221" t="s">
        <v>262</v>
      </c>
      <c r="G20" s="221">
        <v>2</v>
      </c>
      <c r="H20" s="221">
        <v>2</v>
      </c>
      <c r="I20" s="221"/>
      <c r="J20" s="221"/>
      <c r="K20" s="221"/>
      <c r="L20" s="221"/>
      <c r="M20" s="221"/>
      <c r="N20" s="221"/>
      <c r="O20" s="221"/>
      <c r="P20" s="221">
        <v>1</v>
      </c>
      <c r="Q20" s="221">
        <v>2</v>
      </c>
      <c r="R20" s="222">
        <f>+T20/P20</f>
        <v>0.22000000000000003</v>
      </c>
      <c r="S20" s="222">
        <f>+U20/P20</f>
        <v>0.46</v>
      </c>
      <c r="T20" s="222">
        <v>0.22000000000000003</v>
      </c>
      <c r="U20" s="222">
        <v>0.46</v>
      </c>
      <c r="V20" s="221" t="str">
        <f t="shared" ref="V20:V58" si="1">Z20&amp;"*"&amp;AA20&amp;"*"&amp;AB20</f>
        <v>25.4*22.86*8.89</v>
      </c>
      <c r="W20" s="223">
        <v>10</v>
      </c>
      <c r="X20" s="223">
        <v>9</v>
      </c>
      <c r="Y20" s="223">
        <v>3.5</v>
      </c>
      <c r="Z20" s="214">
        <f t="shared" ref="Z20:AB35" si="2">+W20*2.54</f>
        <v>25.4</v>
      </c>
      <c r="AA20" s="214">
        <f t="shared" si="0"/>
        <v>22.86</v>
      </c>
      <c r="AB20" s="214">
        <f t="shared" si="0"/>
        <v>8.89</v>
      </c>
    </row>
    <row r="21" spans="1:28">
      <c r="A21" s="221">
        <v>2</v>
      </c>
      <c r="B21" s="221">
        <v>2</v>
      </c>
      <c r="C21" s="221" t="s">
        <v>190</v>
      </c>
      <c r="D21" s="221"/>
      <c r="E21" s="221"/>
      <c r="F21" s="221"/>
      <c r="G21" s="221">
        <v>5</v>
      </c>
      <c r="H21" s="221"/>
      <c r="I21" s="221">
        <v>5</v>
      </c>
      <c r="J21" s="221"/>
      <c r="K21" s="221"/>
      <c r="L21" s="221"/>
      <c r="M21" s="221"/>
      <c r="N21" s="221"/>
      <c r="O21" s="221"/>
      <c r="P21" s="221">
        <v>1</v>
      </c>
      <c r="Q21" s="221">
        <v>5</v>
      </c>
      <c r="R21" s="222"/>
      <c r="S21" s="222"/>
      <c r="T21" s="222">
        <v>0.54</v>
      </c>
      <c r="U21" s="222">
        <v>0.78</v>
      </c>
      <c r="V21" s="221" t="str">
        <f t="shared" si="1"/>
        <v>25.4*22.86*8.89</v>
      </c>
      <c r="W21" s="223">
        <v>10</v>
      </c>
      <c r="X21" s="223">
        <v>9</v>
      </c>
      <c r="Y21" s="223">
        <v>3.5</v>
      </c>
      <c r="Z21" s="214">
        <f t="shared" si="2"/>
        <v>25.4</v>
      </c>
      <c r="AA21" s="214">
        <f t="shared" si="0"/>
        <v>22.86</v>
      </c>
      <c r="AB21" s="214">
        <f t="shared" si="0"/>
        <v>8.89</v>
      </c>
    </row>
    <row r="22" spans="1:28">
      <c r="A22" s="230">
        <v>3</v>
      </c>
      <c r="B22" s="230">
        <v>3</v>
      </c>
      <c r="C22" s="230" t="s">
        <v>190</v>
      </c>
      <c r="D22" s="230"/>
      <c r="E22" s="230"/>
      <c r="F22" s="230"/>
      <c r="G22" s="230">
        <v>7</v>
      </c>
      <c r="H22" s="230"/>
      <c r="I22" s="230"/>
      <c r="J22" s="230">
        <v>7</v>
      </c>
      <c r="K22" s="230"/>
      <c r="L22" s="230"/>
      <c r="M22" s="230"/>
      <c r="N22" s="230"/>
      <c r="O22" s="230"/>
      <c r="P22" s="221">
        <v>1</v>
      </c>
      <c r="Q22" s="230">
        <v>7</v>
      </c>
      <c r="R22" s="222"/>
      <c r="S22" s="222"/>
      <c r="T22" s="231">
        <v>0.8</v>
      </c>
      <c r="U22" s="231">
        <v>1.04</v>
      </c>
      <c r="V22" s="221" t="str">
        <f t="shared" si="1"/>
        <v>25.4*22.86*8.89</v>
      </c>
      <c r="W22" s="223">
        <v>10</v>
      </c>
      <c r="X22" s="223">
        <v>9</v>
      </c>
      <c r="Y22" s="223">
        <v>3.5</v>
      </c>
      <c r="Z22" s="214">
        <f t="shared" si="2"/>
        <v>25.4</v>
      </c>
      <c r="AA22" s="214">
        <f t="shared" si="0"/>
        <v>22.86</v>
      </c>
      <c r="AB22" s="214">
        <f t="shared" si="0"/>
        <v>8.89</v>
      </c>
    </row>
    <row r="23" spans="1:28">
      <c r="A23" s="230" t="s">
        <v>194</v>
      </c>
      <c r="B23" s="230"/>
      <c r="C23" s="230" t="s">
        <v>198</v>
      </c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22"/>
      <c r="S23" s="222"/>
      <c r="T23" s="231"/>
      <c r="U23" s="231"/>
      <c r="V23" s="221"/>
      <c r="W23" s="223">
        <v>19</v>
      </c>
      <c r="X23" s="223">
        <v>11</v>
      </c>
      <c r="Y23" s="223">
        <v>4.5</v>
      </c>
      <c r="Z23" s="214">
        <f t="shared" si="2"/>
        <v>48.26</v>
      </c>
      <c r="AA23" s="214">
        <f t="shared" si="0"/>
        <v>27.94</v>
      </c>
      <c r="AB23" s="214">
        <f t="shared" si="0"/>
        <v>11.43</v>
      </c>
    </row>
    <row r="24" spans="1:28">
      <c r="A24" s="230">
        <v>4</v>
      </c>
      <c r="B24" s="230">
        <v>4</v>
      </c>
      <c r="C24" s="230" t="s">
        <v>190</v>
      </c>
      <c r="D24" s="230"/>
      <c r="E24" s="230"/>
      <c r="F24" s="230"/>
      <c r="G24" s="230">
        <v>6</v>
      </c>
      <c r="H24" s="230"/>
      <c r="I24" s="230"/>
      <c r="J24" s="230"/>
      <c r="K24" s="230">
        <v>6</v>
      </c>
      <c r="L24" s="230"/>
      <c r="M24" s="230"/>
      <c r="N24" s="230"/>
      <c r="O24" s="230"/>
      <c r="P24" s="230">
        <v>1</v>
      </c>
      <c r="Q24" s="230">
        <v>6</v>
      </c>
      <c r="R24" s="222">
        <f t="shared" ref="R24:R60" si="3">+T24/P24</f>
        <v>0.8</v>
      </c>
      <c r="S24" s="222">
        <f t="shared" ref="S24:S60" si="4">+U24/P24</f>
        <v>1.04</v>
      </c>
      <c r="T24" s="231">
        <v>0.8</v>
      </c>
      <c r="U24" s="231">
        <v>1.04</v>
      </c>
      <c r="V24" s="221" t="str">
        <f t="shared" si="1"/>
        <v>25.4*22.86*8.89</v>
      </c>
      <c r="W24" s="223">
        <v>10</v>
      </c>
      <c r="X24" s="223">
        <v>9</v>
      </c>
      <c r="Y24" s="223">
        <v>3.5</v>
      </c>
      <c r="Z24" s="214">
        <f t="shared" si="2"/>
        <v>25.4</v>
      </c>
      <c r="AA24" s="214">
        <f t="shared" si="0"/>
        <v>22.86</v>
      </c>
      <c r="AB24" s="214">
        <f t="shared" si="0"/>
        <v>8.89</v>
      </c>
    </row>
    <row r="25" spans="1:28">
      <c r="A25" s="230">
        <v>5</v>
      </c>
      <c r="B25" s="230">
        <v>5</v>
      </c>
      <c r="C25" s="230" t="s">
        <v>190</v>
      </c>
      <c r="D25" s="230"/>
      <c r="E25" s="230"/>
      <c r="F25" s="230"/>
      <c r="G25" s="230">
        <v>4</v>
      </c>
      <c r="H25" s="230"/>
      <c r="I25" s="230"/>
      <c r="J25" s="230"/>
      <c r="K25" s="230"/>
      <c r="L25" s="230">
        <v>4</v>
      </c>
      <c r="M25" s="230"/>
      <c r="N25" s="230"/>
      <c r="O25" s="230"/>
      <c r="P25" s="230">
        <v>1</v>
      </c>
      <c r="Q25" s="230">
        <v>4</v>
      </c>
      <c r="R25" s="222"/>
      <c r="S25" s="222"/>
      <c r="T25" s="231">
        <v>0.56000000000000005</v>
      </c>
      <c r="U25" s="231">
        <v>0.8</v>
      </c>
      <c r="V25" s="221" t="str">
        <f t="shared" si="1"/>
        <v>25.4*22.86*8.89</v>
      </c>
      <c r="W25" s="223">
        <v>10</v>
      </c>
      <c r="X25" s="223">
        <v>9</v>
      </c>
      <c r="Y25" s="223">
        <v>3.5</v>
      </c>
      <c r="Z25" s="214">
        <f t="shared" si="2"/>
        <v>25.4</v>
      </c>
      <c r="AA25" s="214">
        <f t="shared" si="0"/>
        <v>22.86</v>
      </c>
      <c r="AB25" s="214">
        <f t="shared" si="0"/>
        <v>8.89</v>
      </c>
    </row>
    <row r="26" spans="1:28">
      <c r="A26" s="230"/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22"/>
      <c r="S26" s="222"/>
      <c r="T26" s="231"/>
      <c r="U26" s="231"/>
      <c r="V26" s="221"/>
      <c r="W26" s="223"/>
      <c r="X26" s="223"/>
      <c r="Y26" s="223"/>
      <c r="Z26" s="214">
        <f t="shared" si="2"/>
        <v>0</v>
      </c>
      <c r="AA26" s="214">
        <f t="shared" si="0"/>
        <v>0</v>
      </c>
      <c r="AB26" s="214">
        <f t="shared" si="0"/>
        <v>0</v>
      </c>
    </row>
    <row r="27" spans="1:28">
      <c r="A27" s="230" t="s">
        <v>271</v>
      </c>
      <c r="B27" s="230"/>
      <c r="C27" s="230" t="s">
        <v>198</v>
      </c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2"/>
      <c r="S27" s="222"/>
      <c r="T27" s="231"/>
      <c r="U27" s="231"/>
      <c r="V27" s="221"/>
      <c r="W27" s="223">
        <v>19</v>
      </c>
      <c r="X27" s="223">
        <v>11</v>
      </c>
      <c r="Y27" s="223">
        <v>8.5</v>
      </c>
      <c r="Z27" s="214">
        <f t="shared" si="2"/>
        <v>48.26</v>
      </c>
      <c r="AA27" s="214">
        <f t="shared" si="0"/>
        <v>27.94</v>
      </c>
      <c r="AB27" s="214">
        <f t="shared" si="0"/>
        <v>21.59</v>
      </c>
    </row>
    <row r="28" spans="1:28">
      <c r="A28" s="230">
        <v>6</v>
      </c>
      <c r="B28" s="230">
        <v>6</v>
      </c>
      <c r="C28" s="230" t="s">
        <v>190</v>
      </c>
      <c r="D28" s="230" t="s">
        <v>222</v>
      </c>
      <c r="E28" s="230" t="s">
        <v>257</v>
      </c>
      <c r="F28" s="230" t="s">
        <v>258</v>
      </c>
      <c r="G28" s="230">
        <v>2</v>
      </c>
      <c r="H28" s="230">
        <v>2</v>
      </c>
      <c r="I28" s="230"/>
      <c r="J28" s="230"/>
      <c r="K28" s="230"/>
      <c r="L28" s="230"/>
      <c r="M28" s="230"/>
      <c r="N28" s="230"/>
      <c r="O28" s="230"/>
      <c r="P28" s="230">
        <v>1</v>
      </c>
      <c r="Q28" s="230">
        <v>2</v>
      </c>
      <c r="R28" s="222">
        <f t="shared" si="3"/>
        <v>0.22000000000000003</v>
      </c>
      <c r="S28" s="222">
        <f t="shared" si="4"/>
        <v>0.46</v>
      </c>
      <c r="T28" s="231">
        <v>0.22000000000000003</v>
      </c>
      <c r="U28" s="231">
        <v>0.46</v>
      </c>
      <c r="V28" s="221" t="str">
        <f t="shared" si="1"/>
        <v>25.4*22.86*8.89</v>
      </c>
      <c r="W28" s="223">
        <v>10</v>
      </c>
      <c r="X28" s="223">
        <v>9</v>
      </c>
      <c r="Y28" s="223">
        <v>3.5</v>
      </c>
      <c r="Z28" s="214">
        <f t="shared" si="2"/>
        <v>25.4</v>
      </c>
      <c r="AA28" s="214">
        <f t="shared" si="0"/>
        <v>22.86</v>
      </c>
      <c r="AB28" s="214">
        <f t="shared" si="0"/>
        <v>8.89</v>
      </c>
    </row>
    <row r="29" spans="1:28">
      <c r="A29" s="230">
        <v>7</v>
      </c>
      <c r="B29" s="230">
        <v>7</v>
      </c>
      <c r="C29" s="230" t="s">
        <v>190</v>
      </c>
      <c r="D29" s="230"/>
      <c r="E29" s="230"/>
      <c r="F29" s="230"/>
      <c r="G29" s="230">
        <v>5</v>
      </c>
      <c r="H29" s="230"/>
      <c r="I29" s="230">
        <v>5</v>
      </c>
      <c r="J29" s="230"/>
      <c r="K29" s="230"/>
      <c r="L29" s="230"/>
      <c r="M29" s="230"/>
      <c r="N29" s="230"/>
      <c r="O29" s="230"/>
      <c r="P29" s="230">
        <v>1</v>
      </c>
      <c r="Q29" s="230">
        <v>5</v>
      </c>
      <c r="R29" s="222"/>
      <c r="S29" s="222"/>
      <c r="T29" s="231">
        <v>0.54</v>
      </c>
      <c r="U29" s="231">
        <v>0.78</v>
      </c>
      <c r="V29" s="221" t="str">
        <f t="shared" si="1"/>
        <v>25.4*22.86*8.89</v>
      </c>
      <c r="W29" s="223">
        <v>10</v>
      </c>
      <c r="X29" s="223">
        <v>9</v>
      </c>
      <c r="Y29" s="223">
        <v>3.5</v>
      </c>
      <c r="Z29" s="214">
        <f t="shared" si="2"/>
        <v>25.4</v>
      </c>
      <c r="AA29" s="214">
        <f t="shared" si="0"/>
        <v>22.86</v>
      </c>
      <c r="AB29" s="214">
        <f t="shared" si="0"/>
        <v>8.89</v>
      </c>
    </row>
    <row r="30" spans="1:28">
      <c r="A30" s="230">
        <v>8</v>
      </c>
      <c r="B30" s="230">
        <v>8</v>
      </c>
      <c r="C30" s="230" t="s">
        <v>190</v>
      </c>
      <c r="D30" s="230"/>
      <c r="E30" s="230"/>
      <c r="F30" s="230"/>
      <c r="G30" s="230">
        <v>7</v>
      </c>
      <c r="H30" s="230"/>
      <c r="I30" s="230"/>
      <c r="J30" s="230">
        <v>7</v>
      </c>
      <c r="K30" s="230"/>
      <c r="L30" s="230"/>
      <c r="M30" s="230"/>
      <c r="N30" s="230"/>
      <c r="O30" s="230"/>
      <c r="P30" s="230">
        <v>1</v>
      </c>
      <c r="Q30" s="230">
        <v>7</v>
      </c>
      <c r="R30" s="222"/>
      <c r="S30" s="222"/>
      <c r="T30" s="231">
        <v>0.8</v>
      </c>
      <c r="U30" s="231">
        <v>1.04</v>
      </c>
      <c r="V30" s="221" t="str">
        <f t="shared" si="1"/>
        <v>25.4*22.86*8.89</v>
      </c>
      <c r="W30" s="223">
        <v>10</v>
      </c>
      <c r="X30" s="223">
        <v>9</v>
      </c>
      <c r="Y30" s="223">
        <v>3.5</v>
      </c>
      <c r="Z30" s="214">
        <f t="shared" si="2"/>
        <v>25.4</v>
      </c>
      <c r="AA30" s="214">
        <f t="shared" si="0"/>
        <v>22.86</v>
      </c>
      <c r="AB30" s="214">
        <f t="shared" si="0"/>
        <v>8.89</v>
      </c>
    </row>
    <row r="31" spans="1:28">
      <c r="A31" s="230" t="s">
        <v>195</v>
      </c>
      <c r="B31" s="230"/>
      <c r="C31" s="230" t="s">
        <v>198</v>
      </c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22"/>
      <c r="S31" s="222"/>
      <c r="T31" s="231"/>
      <c r="U31" s="231"/>
      <c r="V31" s="221"/>
      <c r="W31" s="223">
        <v>19</v>
      </c>
      <c r="X31" s="223">
        <v>11</v>
      </c>
      <c r="Y31" s="223">
        <v>4.5</v>
      </c>
      <c r="Z31" s="214">
        <f t="shared" si="2"/>
        <v>48.26</v>
      </c>
      <c r="AA31" s="214">
        <f t="shared" si="0"/>
        <v>27.94</v>
      </c>
      <c r="AB31" s="214">
        <f t="shared" si="0"/>
        <v>11.43</v>
      </c>
    </row>
    <row r="32" spans="1:28">
      <c r="A32" s="230">
        <v>9</v>
      </c>
      <c r="B32" s="230">
        <v>9</v>
      </c>
      <c r="C32" s="230" t="s">
        <v>190</v>
      </c>
      <c r="D32" s="230"/>
      <c r="E32" s="230"/>
      <c r="F32" s="230"/>
      <c r="G32" s="230">
        <v>6</v>
      </c>
      <c r="H32" s="230"/>
      <c r="I32" s="230"/>
      <c r="J32" s="230"/>
      <c r="K32" s="230">
        <v>6</v>
      </c>
      <c r="L32" s="230"/>
      <c r="M32" s="230"/>
      <c r="N32" s="230"/>
      <c r="O32" s="230"/>
      <c r="P32" s="230">
        <v>1</v>
      </c>
      <c r="Q32" s="230">
        <v>6</v>
      </c>
      <c r="R32" s="222">
        <f t="shared" si="3"/>
        <v>0.8</v>
      </c>
      <c r="S32" s="222">
        <f t="shared" si="4"/>
        <v>1.04</v>
      </c>
      <c r="T32" s="231">
        <v>0.8</v>
      </c>
      <c r="U32" s="231">
        <v>1.04</v>
      </c>
      <c r="V32" s="221" t="str">
        <f t="shared" si="1"/>
        <v>25.4*22.86*8.89</v>
      </c>
      <c r="W32" s="223">
        <v>10</v>
      </c>
      <c r="X32" s="223">
        <v>9</v>
      </c>
      <c r="Y32" s="223">
        <v>3.5</v>
      </c>
      <c r="Z32" s="214">
        <f t="shared" si="2"/>
        <v>25.4</v>
      </c>
      <c r="AA32" s="214">
        <f t="shared" si="0"/>
        <v>22.86</v>
      </c>
      <c r="AB32" s="214">
        <f t="shared" si="0"/>
        <v>8.89</v>
      </c>
    </row>
    <row r="33" spans="1:28">
      <c r="A33" s="230">
        <v>10</v>
      </c>
      <c r="B33" s="230">
        <v>10</v>
      </c>
      <c r="C33" s="230" t="s">
        <v>190</v>
      </c>
      <c r="D33" s="230"/>
      <c r="E33" s="230"/>
      <c r="F33" s="230"/>
      <c r="G33" s="230">
        <v>4</v>
      </c>
      <c r="H33" s="230"/>
      <c r="I33" s="230"/>
      <c r="J33" s="230"/>
      <c r="K33" s="230"/>
      <c r="L33" s="230">
        <v>4</v>
      </c>
      <c r="M33" s="230"/>
      <c r="N33" s="230"/>
      <c r="O33" s="230"/>
      <c r="P33" s="230">
        <v>1</v>
      </c>
      <c r="Q33" s="230">
        <v>4</v>
      </c>
      <c r="R33" s="222"/>
      <c r="S33" s="222"/>
      <c r="T33" s="231">
        <v>0.56000000000000005</v>
      </c>
      <c r="U33" s="231">
        <v>0.8</v>
      </c>
      <c r="V33" s="221" t="str">
        <f t="shared" si="1"/>
        <v>25.4*22.86*8.89</v>
      </c>
      <c r="W33" s="223">
        <v>10</v>
      </c>
      <c r="X33" s="223">
        <v>9</v>
      </c>
      <c r="Y33" s="223">
        <v>3.5</v>
      </c>
      <c r="Z33" s="214">
        <f t="shared" si="2"/>
        <v>25.4</v>
      </c>
      <c r="AA33" s="214">
        <f t="shared" si="0"/>
        <v>22.86</v>
      </c>
      <c r="AB33" s="214">
        <f t="shared" si="0"/>
        <v>8.89</v>
      </c>
    </row>
    <row r="34" spans="1:28">
      <c r="A34" s="230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22"/>
      <c r="S34" s="222"/>
      <c r="T34" s="231"/>
      <c r="U34" s="231"/>
      <c r="V34" s="221"/>
      <c r="W34" s="223"/>
      <c r="X34" s="223"/>
      <c r="Y34" s="223"/>
      <c r="Z34" s="214">
        <f t="shared" si="2"/>
        <v>0</v>
      </c>
      <c r="AA34" s="214">
        <f t="shared" si="0"/>
        <v>0</v>
      </c>
      <c r="AB34" s="214">
        <f t="shared" si="0"/>
        <v>0</v>
      </c>
    </row>
    <row r="35" spans="1:28">
      <c r="A35" s="230" t="s">
        <v>272</v>
      </c>
      <c r="B35" s="230"/>
      <c r="C35" s="230" t="s">
        <v>198</v>
      </c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22"/>
      <c r="S35" s="222"/>
      <c r="T35" s="231"/>
      <c r="U35" s="231"/>
      <c r="V35" s="221"/>
      <c r="W35" s="223">
        <v>10</v>
      </c>
      <c r="X35" s="223">
        <v>10</v>
      </c>
      <c r="Y35" s="223">
        <v>11.5</v>
      </c>
      <c r="Z35" s="214">
        <f t="shared" si="2"/>
        <v>25.4</v>
      </c>
      <c r="AA35" s="214">
        <f t="shared" si="2"/>
        <v>25.4</v>
      </c>
      <c r="AB35" s="214">
        <f t="shared" si="2"/>
        <v>29.21</v>
      </c>
    </row>
    <row r="36" spans="1:28">
      <c r="A36" s="230">
        <v>11</v>
      </c>
      <c r="B36" s="230">
        <v>11</v>
      </c>
      <c r="C36" s="230" t="s">
        <v>190</v>
      </c>
      <c r="D36" s="230" t="s">
        <v>230</v>
      </c>
      <c r="E36" s="230" t="s">
        <v>231</v>
      </c>
      <c r="F36" s="230" t="s">
        <v>232</v>
      </c>
      <c r="G36" s="230">
        <v>2</v>
      </c>
      <c r="H36" s="230">
        <v>2</v>
      </c>
      <c r="I36" s="230"/>
      <c r="J36" s="230"/>
      <c r="K36" s="230"/>
      <c r="L36" s="230"/>
      <c r="M36" s="230"/>
      <c r="N36" s="230"/>
      <c r="O36" s="230"/>
      <c r="P36" s="230">
        <v>1</v>
      </c>
      <c r="Q36" s="230">
        <v>2</v>
      </c>
      <c r="R36" s="222">
        <f t="shared" si="3"/>
        <v>0.2</v>
      </c>
      <c r="S36" s="222">
        <f t="shared" si="4"/>
        <v>0.44</v>
      </c>
      <c r="T36" s="231">
        <v>0.2</v>
      </c>
      <c r="U36" s="231">
        <v>0.44</v>
      </c>
      <c r="V36" s="221" t="str">
        <f t="shared" si="1"/>
        <v>22.86*22.86*8.89</v>
      </c>
      <c r="W36" s="223">
        <v>9</v>
      </c>
      <c r="X36" s="223">
        <v>9</v>
      </c>
      <c r="Y36" s="223">
        <v>3.5</v>
      </c>
      <c r="Z36" s="214">
        <f t="shared" ref="Z36:AB71" si="5">+W36*2.54</f>
        <v>22.86</v>
      </c>
      <c r="AA36" s="214">
        <f t="shared" si="5"/>
        <v>22.86</v>
      </c>
      <c r="AB36" s="214">
        <f t="shared" si="5"/>
        <v>8.89</v>
      </c>
    </row>
    <row r="37" spans="1:28">
      <c r="A37" s="230">
        <v>12</v>
      </c>
      <c r="B37" s="230">
        <v>12</v>
      </c>
      <c r="C37" s="230" t="s">
        <v>190</v>
      </c>
      <c r="D37" s="230"/>
      <c r="E37" s="230"/>
      <c r="F37" s="230"/>
      <c r="G37" s="230">
        <v>5</v>
      </c>
      <c r="H37" s="230"/>
      <c r="I37" s="230">
        <v>5</v>
      </c>
      <c r="J37" s="230"/>
      <c r="K37" s="230"/>
      <c r="L37" s="230"/>
      <c r="M37" s="230"/>
      <c r="N37" s="230"/>
      <c r="O37" s="230"/>
      <c r="P37" s="230">
        <v>1</v>
      </c>
      <c r="Q37" s="230">
        <v>5</v>
      </c>
      <c r="R37" s="222"/>
      <c r="S37" s="222"/>
      <c r="T37" s="231">
        <v>0</v>
      </c>
      <c r="U37" s="231">
        <v>0</v>
      </c>
      <c r="V37" s="221" t="str">
        <f t="shared" si="1"/>
        <v>22.86*22.86*8.89</v>
      </c>
      <c r="W37" s="223">
        <v>9</v>
      </c>
      <c r="X37" s="223">
        <v>9</v>
      </c>
      <c r="Y37" s="223">
        <v>3.5</v>
      </c>
      <c r="Z37" s="214">
        <f t="shared" si="5"/>
        <v>22.86</v>
      </c>
      <c r="AA37" s="214">
        <f t="shared" si="5"/>
        <v>22.86</v>
      </c>
      <c r="AB37" s="214">
        <f t="shared" si="5"/>
        <v>8.89</v>
      </c>
    </row>
    <row r="38" spans="1:28">
      <c r="A38" s="230">
        <v>13</v>
      </c>
      <c r="B38" s="230">
        <v>13</v>
      </c>
      <c r="C38" s="230" t="s">
        <v>190</v>
      </c>
      <c r="D38" s="230"/>
      <c r="E38" s="230"/>
      <c r="F38" s="230"/>
      <c r="G38" s="230">
        <v>7</v>
      </c>
      <c r="H38" s="230"/>
      <c r="I38" s="230"/>
      <c r="J38" s="230">
        <v>7</v>
      </c>
      <c r="K38" s="230"/>
      <c r="L38" s="230"/>
      <c r="M38" s="230"/>
      <c r="N38" s="230"/>
      <c r="O38" s="230"/>
      <c r="P38" s="230">
        <v>1</v>
      </c>
      <c r="Q38" s="230">
        <v>7</v>
      </c>
      <c r="R38" s="222"/>
      <c r="S38" s="222"/>
      <c r="T38" s="231">
        <v>0</v>
      </c>
      <c r="U38" s="231">
        <v>0</v>
      </c>
      <c r="V38" s="221" t="str">
        <f t="shared" si="1"/>
        <v>22.86*22.86*8.89</v>
      </c>
      <c r="W38" s="223">
        <v>9</v>
      </c>
      <c r="X38" s="223">
        <v>9</v>
      </c>
      <c r="Y38" s="223">
        <v>3.5</v>
      </c>
      <c r="Z38" s="214">
        <f t="shared" si="5"/>
        <v>22.86</v>
      </c>
      <c r="AA38" s="214">
        <f t="shared" si="5"/>
        <v>22.86</v>
      </c>
      <c r="AB38" s="214">
        <f t="shared" si="5"/>
        <v>8.89</v>
      </c>
    </row>
    <row r="39" spans="1:28">
      <c r="A39" s="230" t="s">
        <v>273</v>
      </c>
      <c r="B39" s="230"/>
      <c r="C39" s="230" t="s">
        <v>198</v>
      </c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22"/>
      <c r="S39" s="222"/>
      <c r="T39" s="231"/>
      <c r="U39" s="231"/>
      <c r="V39" s="221"/>
      <c r="W39" s="223">
        <v>19</v>
      </c>
      <c r="X39" s="223">
        <v>11</v>
      </c>
      <c r="Y39" s="223">
        <v>4.5</v>
      </c>
      <c r="Z39" s="214">
        <f t="shared" si="5"/>
        <v>48.26</v>
      </c>
      <c r="AA39" s="214">
        <f t="shared" si="5"/>
        <v>27.94</v>
      </c>
      <c r="AB39" s="214">
        <f t="shared" si="5"/>
        <v>11.43</v>
      </c>
    </row>
    <row r="40" spans="1:28">
      <c r="A40" s="230">
        <v>14</v>
      </c>
      <c r="B40" s="230">
        <v>14</v>
      </c>
      <c r="C40" s="230" t="s">
        <v>190</v>
      </c>
      <c r="D40" s="230"/>
      <c r="E40" s="230"/>
      <c r="F40" s="230"/>
      <c r="G40" s="230">
        <v>6</v>
      </c>
      <c r="H40" s="230"/>
      <c r="I40" s="230"/>
      <c r="J40" s="230"/>
      <c r="K40" s="230">
        <v>6</v>
      </c>
      <c r="L40" s="230"/>
      <c r="M40" s="230"/>
      <c r="N40" s="230"/>
      <c r="O40" s="230"/>
      <c r="P40" s="230">
        <v>1</v>
      </c>
      <c r="Q40" s="230">
        <v>6</v>
      </c>
      <c r="R40" s="222">
        <f t="shared" si="3"/>
        <v>0.78</v>
      </c>
      <c r="S40" s="222">
        <f t="shared" si="4"/>
        <v>1.02</v>
      </c>
      <c r="T40" s="231">
        <v>0.78</v>
      </c>
      <c r="U40" s="231">
        <v>1.02</v>
      </c>
      <c r="V40" s="221" t="str">
        <f t="shared" si="1"/>
        <v>22.86*22.86*8.89</v>
      </c>
      <c r="W40" s="223">
        <v>9</v>
      </c>
      <c r="X40" s="223">
        <v>9</v>
      </c>
      <c r="Y40" s="223">
        <v>3.5</v>
      </c>
      <c r="Z40" s="214">
        <f t="shared" si="5"/>
        <v>22.86</v>
      </c>
      <c r="AA40" s="214">
        <f t="shared" si="5"/>
        <v>22.86</v>
      </c>
      <c r="AB40" s="214">
        <f t="shared" si="5"/>
        <v>8.89</v>
      </c>
    </row>
    <row r="41" spans="1:28">
      <c r="A41" s="230">
        <v>15</v>
      </c>
      <c r="B41" s="230">
        <v>15</v>
      </c>
      <c r="C41" s="230" t="s">
        <v>190</v>
      </c>
      <c r="D41" s="230"/>
      <c r="E41" s="230"/>
      <c r="F41" s="230"/>
      <c r="G41" s="230">
        <v>4</v>
      </c>
      <c r="H41" s="230"/>
      <c r="I41" s="230"/>
      <c r="J41" s="230"/>
      <c r="K41" s="230"/>
      <c r="L41" s="230">
        <v>4</v>
      </c>
      <c r="M41" s="230"/>
      <c r="N41" s="230"/>
      <c r="O41" s="230"/>
      <c r="P41" s="230">
        <v>1</v>
      </c>
      <c r="Q41" s="230">
        <v>4</v>
      </c>
      <c r="R41" s="222"/>
      <c r="S41" s="222"/>
      <c r="T41" s="231">
        <v>0</v>
      </c>
      <c r="U41" s="231">
        <v>0</v>
      </c>
      <c r="V41" s="221" t="str">
        <f t="shared" si="1"/>
        <v>22.86*22.86*8.89</v>
      </c>
      <c r="W41" s="223">
        <v>9</v>
      </c>
      <c r="X41" s="223">
        <v>9</v>
      </c>
      <c r="Y41" s="223">
        <v>3.5</v>
      </c>
      <c r="Z41" s="214">
        <f t="shared" si="5"/>
        <v>22.86</v>
      </c>
      <c r="AA41" s="214">
        <f t="shared" si="5"/>
        <v>22.86</v>
      </c>
      <c r="AB41" s="214">
        <f t="shared" si="5"/>
        <v>8.89</v>
      </c>
    </row>
    <row r="42" spans="1:28">
      <c r="A42" s="230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22"/>
      <c r="S42" s="222"/>
      <c r="T42" s="231"/>
      <c r="U42" s="231"/>
      <c r="V42" s="221"/>
      <c r="W42" s="223"/>
      <c r="X42" s="223"/>
      <c r="Y42" s="223"/>
      <c r="Z42" s="214">
        <f t="shared" si="5"/>
        <v>0</v>
      </c>
      <c r="AA42" s="214">
        <f t="shared" si="5"/>
        <v>0</v>
      </c>
      <c r="AB42" s="214">
        <f t="shared" si="5"/>
        <v>0</v>
      </c>
    </row>
    <row r="43" spans="1:28">
      <c r="A43" s="230" t="s">
        <v>274</v>
      </c>
      <c r="B43" s="230"/>
      <c r="C43" s="230" t="s">
        <v>198</v>
      </c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22"/>
      <c r="S43" s="222"/>
      <c r="T43" s="231"/>
      <c r="U43" s="231"/>
      <c r="V43" s="221"/>
      <c r="W43" s="223">
        <v>19</v>
      </c>
      <c r="X43" s="223">
        <v>11</v>
      </c>
      <c r="Y43" s="223">
        <v>8.5</v>
      </c>
      <c r="Z43" s="214">
        <f t="shared" si="5"/>
        <v>48.26</v>
      </c>
      <c r="AA43" s="214">
        <f t="shared" si="5"/>
        <v>27.94</v>
      </c>
      <c r="AB43" s="214">
        <f t="shared" si="5"/>
        <v>21.59</v>
      </c>
    </row>
    <row r="44" spans="1:28">
      <c r="A44" s="230">
        <v>16</v>
      </c>
      <c r="B44" s="230">
        <v>16</v>
      </c>
      <c r="C44" s="230" t="s">
        <v>190</v>
      </c>
      <c r="D44" s="230" t="s">
        <v>226</v>
      </c>
      <c r="E44" s="230" t="s">
        <v>261</v>
      </c>
      <c r="F44" s="230" t="s">
        <v>262</v>
      </c>
      <c r="G44" s="230">
        <v>2</v>
      </c>
      <c r="H44" s="230">
        <v>2</v>
      </c>
      <c r="I44" s="230"/>
      <c r="J44" s="230"/>
      <c r="K44" s="230"/>
      <c r="L44" s="230"/>
      <c r="M44" s="230"/>
      <c r="N44" s="230"/>
      <c r="O44" s="230"/>
      <c r="P44" s="230">
        <v>1</v>
      </c>
      <c r="Q44" s="230">
        <v>2</v>
      </c>
      <c r="R44" s="222">
        <f t="shared" si="3"/>
        <v>0.24</v>
      </c>
      <c r="S44" s="222">
        <f t="shared" si="4"/>
        <v>0.48</v>
      </c>
      <c r="T44" s="231">
        <v>0.24</v>
      </c>
      <c r="U44" s="231">
        <v>0.48</v>
      </c>
      <c r="V44" s="221" t="str">
        <f t="shared" si="1"/>
        <v>25.4*22.86*8.89</v>
      </c>
      <c r="W44" s="223">
        <v>10</v>
      </c>
      <c r="X44" s="223">
        <v>9</v>
      </c>
      <c r="Y44" s="223">
        <v>3.5</v>
      </c>
      <c r="Z44" s="214">
        <f t="shared" si="5"/>
        <v>25.4</v>
      </c>
      <c r="AA44" s="214">
        <f t="shared" si="5"/>
        <v>22.86</v>
      </c>
      <c r="AB44" s="214">
        <f t="shared" si="5"/>
        <v>8.89</v>
      </c>
    </row>
    <row r="45" spans="1:28">
      <c r="A45" s="230">
        <v>17</v>
      </c>
      <c r="B45" s="230">
        <v>17</v>
      </c>
      <c r="C45" s="230" t="s">
        <v>190</v>
      </c>
      <c r="D45" s="230"/>
      <c r="E45" s="230"/>
      <c r="F45" s="230"/>
      <c r="G45" s="230">
        <v>5</v>
      </c>
      <c r="H45" s="230"/>
      <c r="I45" s="230">
        <v>5</v>
      </c>
      <c r="J45" s="230"/>
      <c r="K45" s="230"/>
      <c r="L45" s="230"/>
      <c r="M45" s="230"/>
      <c r="N45" s="230"/>
      <c r="O45" s="230"/>
      <c r="P45" s="230">
        <v>1</v>
      </c>
      <c r="Q45" s="230">
        <v>5</v>
      </c>
      <c r="R45" s="222"/>
      <c r="S45" s="222"/>
      <c r="T45" s="231">
        <v>0</v>
      </c>
      <c r="U45" s="231">
        <v>0</v>
      </c>
      <c r="V45" s="221" t="str">
        <f t="shared" si="1"/>
        <v>25.4*22.86*8.89</v>
      </c>
      <c r="W45" s="223">
        <v>10</v>
      </c>
      <c r="X45" s="223">
        <v>9</v>
      </c>
      <c r="Y45" s="223">
        <v>3.5</v>
      </c>
      <c r="Z45" s="214">
        <f t="shared" si="5"/>
        <v>25.4</v>
      </c>
      <c r="AA45" s="214">
        <f t="shared" si="5"/>
        <v>22.86</v>
      </c>
      <c r="AB45" s="214">
        <f t="shared" si="5"/>
        <v>8.89</v>
      </c>
    </row>
    <row r="46" spans="1:28">
      <c r="A46" s="230">
        <v>18</v>
      </c>
      <c r="B46" s="230">
        <v>18</v>
      </c>
      <c r="C46" s="230" t="s">
        <v>190</v>
      </c>
      <c r="D46" s="230"/>
      <c r="E46" s="230"/>
      <c r="F46" s="230"/>
      <c r="G46" s="230">
        <v>7</v>
      </c>
      <c r="H46" s="230"/>
      <c r="I46" s="230"/>
      <c r="J46" s="230">
        <v>7</v>
      </c>
      <c r="K46" s="230"/>
      <c r="L46" s="230"/>
      <c r="M46" s="230"/>
      <c r="N46" s="230"/>
      <c r="O46" s="230"/>
      <c r="P46" s="230">
        <v>1</v>
      </c>
      <c r="Q46" s="230">
        <v>7</v>
      </c>
      <c r="R46" s="222"/>
      <c r="S46" s="222"/>
      <c r="T46" s="231">
        <v>0</v>
      </c>
      <c r="U46" s="231">
        <v>0</v>
      </c>
      <c r="V46" s="221" t="str">
        <f t="shared" si="1"/>
        <v>25.4*22.86*8.89</v>
      </c>
      <c r="W46" s="223">
        <v>10</v>
      </c>
      <c r="X46" s="223">
        <v>9</v>
      </c>
      <c r="Y46" s="223">
        <v>3.5</v>
      </c>
      <c r="Z46" s="214">
        <f t="shared" si="5"/>
        <v>25.4</v>
      </c>
      <c r="AA46" s="214">
        <f t="shared" si="5"/>
        <v>22.86</v>
      </c>
      <c r="AB46" s="214">
        <f t="shared" si="5"/>
        <v>8.89</v>
      </c>
    </row>
    <row r="47" spans="1:28">
      <c r="A47" s="230" t="s">
        <v>275</v>
      </c>
      <c r="B47" s="230"/>
      <c r="C47" s="230" t="s">
        <v>198</v>
      </c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22"/>
      <c r="S47" s="222"/>
      <c r="T47" s="231"/>
      <c r="U47" s="231"/>
      <c r="V47" s="221"/>
      <c r="W47" s="223">
        <v>19</v>
      </c>
      <c r="X47" s="223">
        <v>11</v>
      </c>
      <c r="Y47" s="223">
        <v>4.5</v>
      </c>
      <c r="Z47" s="214">
        <f t="shared" si="5"/>
        <v>48.26</v>
      </c>
      <c r="AA47" s="214">
        <f t="shared" si="5"/>
        <v>27.94</v>
      </c>
      <c r="AB47" s="214">
        <f t="shared" si="5"/>
        <v>11.43</v>
      </c>
    </row>
    <row r="48" spans="1:28">
      <c r="A48" s="230">
        <v>19</v>
      </c>
      <c r="B48" s="230">
        <v>19</v>
      </c>
      <c r="C48" s="230" t="s">
        <v>190</v>
      </c>
      <c r="D48" s="230"/>
      <c r="E48" s="230"/>
      <c r="F48" s="230"/>
      <c r="G48" s="230">
        <v>6</v>
      </c>
      <c r="H48" s="230"/>
      <c r="I48" s="230"/>
      <c r="J48" s="230"/>
      <c r="K48" s="230">
        <v>6</v>
      </c>
      <c r="L48" s="230"/>
      <c r="M48" s="230"/>
      <c r="N48" s="230"/>
      <c r="O48" s="230"/>
      <c r="P48" s="230">
        <v>1</v>
      </c>
      <c r="Q48" s="230">
        <v>6</v>
      </c>
      <c r="R48" s="222">
        <f t="shared" si="3"/>
        <v>0.84000000000000008</v>
      </c>
      <c r="S48" s="222">
        <f t="shared" si="4"/>
        <v>1.08</v>
      </c>
      <c r="T48" s="231">
        <v>0.84000000000000008</v>
      </c>
      <c r="U48" s="231">
        <v>1.08</v>
      </c>
      <c r="V48" s="221" t="str">
        <f t="shared" si="1"/>
        <v>25.4*22.86*8.89</v>
      </c>
      <c r="W48" s="223">
        <v>10</v>
      </c>
      <c r="X48" s="223">
        <v>9</v>
      </c>
      <c r="Y48" s="223">
        <v>3.5</v>
      </c>
      <c r="Z48" s="214">
        <f t="shared" si="5"/>
        <v>25.4</v>
      </c>
      <c r="AA48" s="214">
        <f t="shared" si="5"/>
        <v>22.86</v>
      </c>
      <c r="AB48" s="214">
        <f t="shared" si="5"/>
        <v>8.89</v>
      </c>
    </row>
    <row r="49" spans="1:28">
      <c r="A49" s="230">
        <v>20</v>
      </c>
      <c r="B49" s="230">
        <v>20</v>
      </c>
      <c r="C49" s="230" t="s">
        <v>190</v>
      </c>
      <c r="D49" s="230"/>
      <c r="E49" s="230"/>
      <c r="F49" s="230"/>
      <c r="G49" s="230">
        <v>4</v>
      </c>
      <c r="H49" s="230"/>
      <c r="I49" s="230"/>
      <c r="J49" s="230"/>
      <c r="K49" s="230"/>
      <c r="L49" s="230">
        <v>4</v>
      </c>
      <c r="M49" s="230"/>
      <c r="N49" s="230"/>
      <c r="O49" s="230"/>
      <c r="P49" s="230">
        <v>1</v>
      </c>
      <c r="Q49" s="230">
        <v>4</v>
      </c>
      <c r="R49" s="222"/>
      <c r="S49" s="222"/>
      <c r="T49" s="231">
        <v>0</v>
      </c>
      <c r="U49" s="231">
        <v>0</v>
      </c>
      <c r="V49" s="221" t="str">
        <f t="shared" si="1"/>
        <v>25.4*22.86*8.89</v>
      </c>
      <c r="W49" s="223">
        <v>10</v>
      </c>
      <c r="X49" s="223">
        <v>9</v>
      </c>
      <c r="Y49" s="223">
        <v>3.5</v>
      </c>
      <c r="Z49" s="214">
        <f t="shared" si="5"/>
        <v>25.4</v>
      </c>
      <c r="AA49" s="214">
        <f t="shared" si="5"/>
        <v>22.86</v>
      </c>
      <c r="AB49" s="214">
        <f t="shared" si="5"/>
        <v>8.89</v>
      </c>
    </row>
    <row r="50" spans="1:28">
      <c r="A50" s="230"/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22"/>
      <c r="S50" s="222"/>
      <c r="T50" s="231"/>
      <c r="U50" s="231"/>
      <c r="V50" s="221"/>
      <c r="W50" s="223"/>
      <c r="X50" s="223"/>
      <c r="Y50" s="223"/>
      <c r="Z50" s="214">
        <f t="shared" si="5"/>
        <v>0</v>
      </c>
      <c r="AA50" s="214">
        <f t="shared" si="5"/>
        <v>0</v>
      </c>
      <c r="AB50" s="214">
        <f t="shared" si="5"/>
        <v>0</v>
      </c>
    </row>
    <row r="51" spans="1:28">
      <c r="A51" s="230" t="s">
        <v>276</v>
      </c>
      <c r="B51" s="230"/>
      <c r="C51" s="230" t="s">
        <v>198</v>
      </c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22"/>
      <c r="S51" s="222"/>
      <c r="T51" s="231"/>
      <c r="U51" s="231"/>
      <c r="V51" s="221"/>
      <c r="W51" s="223">
        <v>19</v>
      </c>
      <c r="X51" s="223">
        <v>11</v>
      </c>
      <c r="Y51" s="223">
        <v>8.5</v>
      </c>
      <c r="Z51" s="214">
        <f t="shared" si="5"/>
        <v>48.26</v>
      </c>
      <c r="AA51" s="214">
        <f t="shared" si="5"/>
        <v>27.94</v>
      </c>
      <c r="AB51" s="214">
        <f t="shared" si="5"/>
        <v>21.59</v>
      </c>
    </row>
    <row r="52" spans="1:28">
      <c r="A52" s="230">
        <v>21</v>
      </c>
      <c r="B52" s="230">
        <v>21</v>
      </c>
      <c r="C52" s="230" t="s">
        <v>190</v>
      </c>
      <c r="D52" s="230" t="s">
        <v>226</v>
      </c>
      <c r="E52" s="230" t="s">
        <v>257</v>
      </c>
      <c r="F52" s="230" t="s">
        <v>258</v>
      </c>
      <c r="G52" s="230">
        <v>2</v>
      </c>
      <c r="H52" s="230">
        <v>2</v>
      </c>
      <c r="I52" s="230"/>
      <c r="J52" s="230"/>
      <c r="K52" s="230"/>
      <c r="L52" s="230"/>
      <c r="M52" s="230"/>
      <c r="N52" s="230"/>
      <c r="O52" s="230"/>
      <c r="P52" s="230">
        <v>1</v>
      </c>
      <c r="Q52" s="230">
        <v>2</v>
      </c>
      <c r="R52" s="222">
        <f t="shared" si="3"/>
        <v>0.24</v>
      </c>
      <c r="S52" s="222">
        <f t="shared" si="4"/>
        <v>0.48</v>
      </c>
      <c r="T52" s="231">
        <v>0.24</v>
      </c>
      <c r="U52" s="231">
        <v>0.48</v>
      </c>
      <c r="V52" s="221" t="str">
        <f t="shared" si="1"/>
        <v>25.4*22.86*8.89</v>
      </c>
      <c r="W52" s="223">
        <v>10</v>
      </c>
      <c r="X52" s="223">
        <v>9</v>
      </c>
      <c r="Y52" s="223">
        <v>3.5</v>
      </c>
      <c r="Z52" s="214">
        <f t="shared" si="5"/>
        <v>25.4</v>
      </c>
      <c r="AA52" s="214">
        <f t="shared" si="5"/>
        <v>22.86</v>
      </c>
      <c r="AB52" s="214">
        <f t="shared" si="5"/>
        <v>8.89</v>
      </c>
    </row>
    <row r="53" spans="1:28">
      <c r="A53" s="230">
        <v>22</v>
      </c>
      <c r="B53" s="230">
        <v>22</v>
      </c>
      <c r="C53" s="230" t="s">
        <v>190</v>
      </c>
      <c r="D53" s="230"/>
      <c r="E53" s="230"/>
      <c r="F53" s="230"/>
      <c r="G53" s="230">
        <v>5</v>
      </c>
      <c r="H53" s="230"/>
      <c r="I53" s="230">
        <v>5</v>
      </c>
      <c r="J53" s="230"/>
      <c r="K53" s="230"/>
      <c r="L53" s="230"/>
      <c r="M53" s="230"/>
      <c r="N53" s="230"/>
      <c r="O53" s="230"/>
      <c r="P53" s="230">
        <v>1</v>
      </c>
      <c r="Q53" s="230">
        <v>5</v>
      </c>
      <c r="R53" s="222"/>
      <c r="S53" s="222"/>
      <c r="T53" s="231">
        <v>0</v>
      </c>
      <c r="U53" s="231">
        <v>0</v>
      </c>
      <c r="V53" s="221" t="str">
        <f t="shared" si="1"/>
        <v>25.4*22.86*8.89</v>
      </c>
      <c r="W53" s="223">
        <v>10</v>
      </c>
      <c r="X53" s="223">
        <v>9</v>
      </c>
      <c r="Y53" s="223">
        <v>3.5</v>
      </c>
      <c r="Z53" s="214">
        <f t="shared" si="5"/>
        <v>25.4</v>
      </c>
      <c r="AA53" s="214">
        <f t="shared" si="5"/>
        <v>22.86</v>
      </c>
      <c r="AB53" s="214">
        <f t="shared" si="5"/>
        <v>8.89</v>
      </c>
    </row>
    <row r="54" spans="1:28">
      <c r="A54" s="230">
        <v>23</v>
      </c>
      <c r="B54" s="230">
        <v>23</v>
      </c>
      <c r="C54" s="230" t="s">
        <v>190</v>
      </c>
      <c r="D54" s="230"/>
      <c r="E54" s="230"/>
      <c r="F54" s="230"/>
      <c r="G54" s="230">
        <v>7</v>
      </c>
      <c r="H54" s="230"/>
      <c r="I54" s="230"/>
      <c r="J54" s="230">
        <v>7</v>
      </c>
      <c r="K54" s="230"/>
      <c r="L54" s="230"/>
      <c r="M54" s="230"/>
      <c r="N54" s="230"/>
      <c r="O54" s="230"/>
      <c r="P54" s="230">
        <v>1</v>
      </c>
      <c r="Q54" s="230">
        <v>7</v>
      </c>
      <c r="R54" s="222"/>
      <c r="S54" s="222"/>
      <c r="T54" s="231">
        <v>0</v>
      </c>
      <c r="U54" s="231">
        <v>0</v>
      </c>
      <c r="V54" s="221" t="str">
        <f t="shared" si="1"/>
        <v>25.4*22.86*8.89</v>
      </c>
      <c r="W54" s="223">
        <v>10</v>
      </c>
      <c r="X54" s="223">
        <v>9</v>
      </c>
      <c r="Y54" s="223">
        <v>3.5</v>
      </c>
      <c r="Z54" s="214">
        <f t="shared" si="5"/>
        <v>25.4</v>
      </c>
      <c r="AA54" s="214">
        <f t="shared" si="5"/>
        <v>22.86</v>
      </c>
      <c r="AB54" s="214">
        <f t="shared" si="5"/>
        <v>8.89</v>
      </c>
    </row>
    <row r="55" spans="1:28">
      <c r="A55" s="230" t="s">
        <v>277</v>
      </c>
      <c r="B55" s="230"/>
      <c r="C55" s="230" t="s">
        <v>198</v>
      </c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22"/>
      <c r="S55" s="222"/>
      <c r="T55" s="231"/>
      <c r="U55" s="231"/>
      <c r="V55" s="221"/>
      <c r="W55" s="223">
        <v>19</v>
      </c>
      <c r="X55" s="223">
        <v>11</v>
      </c>
      <c r="Y55" s="223">
        <v>4.5</v>
      </c>
      <c r="Z55" s="214">
        <f t="shared" si="5"/>
        <v>48.26</v>
      </c>
      <c r="AA55" s="214">
        <f t="shared" si="5"/>
        <v>27.94</v>
      </c>
      <c r="AB55" s="214">
        <f t="shared" si="5"/>
        <v>11.43</v>
      </c>
    </row>
    <row r="56" spans="1:28">
      <c r="A56" s="230">
        <v>24</v>
      </c>
      <c r="B56" s="230">
        <v>24</v>
      </c>
      <c r="C56" s="230" t="s">
        <v>190</v>
      </c>
      <c r="D56" s="230"/>
      <c r="E56" s="230"/>
      <c r="F56" s="230"/>
      <c r="G56" s="230">
        <v>6</v>
      </c>
      <c r="H56" s="230"/>
      <c r="I56" s="230"/>
      <c r="J56" s="230"/>
      <c r="K56" s="230">
        <v>6</v>
      </c>
      <c r="L56" s="230"/>
      <c r="M56" s="230"/>
      <c r="N56" s="230"/>
      <c r="O56" s="230"/>
      <c r="P56" s="230">
        <v>1</v>
      </c>
      <c r="Q56" s="230">
        <v>6</v>
      </c>
      <c r="R56" s="222">
        <f t="shared" si="3"/>
        <v>0.84000000000000008</v>
      </c>
      <c r="S56" s="222">
        <f t="shared" si="4"/>
        <v>1.08</v>
      </c>
      <c r="T56" s="231">
        <v>0.84000000000000008</v>
      </c>
      <c r="U56" s="231">
        <v>1.08</v>
      </c>
      <c r="V56" s="221" t="str">
        <f t="shared" si="1"/>
        <v>25.4*22.86*8.89</v>
      </c>
      <c r="W56" s="223">
        <v>10</v>
      </c>
      <c r="X56" s="223">
        <v>9</v>
      </c>
      <c r="Y56" s="223">
        <v>3.5</v>
      </c>
      <c r="Z56" s="214">
        <f t="shared" si="5"/>
        <v>25.4</v>
      </c>
      <c r="AA56" s="214">
        <f t="shared" si="5"/>
        <v>22.86</v>
      </c>
      <c r="AB56" s="214">
        <f t="shared" si="5"/>
        <v>8.89</v>
      </c>
    </row>
    <row r="57" spans="1:28">
      <c r="A57" s="230">
        <v>25</v>
      </c>
      <c r="B57" s="230">
        <v>25</v>
      </c>
      <c r="C57" s="230" t="s">
        <v>190</v>
      </c>
      <c r="D57" s="230"/>
      <c r="E57" s="230"/>
      <c r="F57" s="230"/>
      <c r="G57" s="230">
        <v>4</v>
      </c>
      <c r="H57" s="230"/>
      <c r="I57" s="230"/>
      <c r="J57" s="230"/>
      <c r="K57" s="230"/>
      <c r="L57" s="230">
        <v>4</v>
      </c>
      <c r="M57" s="230"/>
      <c r="N57" s="230"/>
      <c r="O57" s="230"/>
      <c r="P57" s="230">
        <v>1</v>
      </c>
      <c r="Q57" s="230">
        <v>4</v>
      </c>
      <c r="R57" s="222"/>
      <c r="S57" s="222"/>
      <c r="T57" s="231">
        <v>0</v>
      </c>
      <c r="U57" s="231">
        <v>0</v>
      </c>
      <c r="V57" s="221" t="str">
        <f t="shared" si="1"/>
        <v>25.4*22.86*8.89</v>
      </c>
      <c r="W57" s="223">
        <v>10</v>
      </c>
      <c r="X57" s="223">
        <v>9</v>
      </c>
      <c r="Y57" s="223">
        <v>3.5</v>
      </c>
      <c r="Z57" s="214">
        <f t="shared" si="5"/>
        <v>25.4</v>
      </c>
      <c r="AA57" s="214">
        <f t="shared" si="5"/>
        <v>22.86</v>
      </c>
      <c r="AB57" s="214">
        <f t="shared" si="5"/>
        <v>8.89</v>
      </c>
    </row>
    <row r="58" spans="1:28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1"/>
      <c r="S58" s="231"/>
      <c r="T58" s="231"/>
      <c r="U58" s="231"/>
      <c r="V58" s="221"/>
      <c r="W58" s="223"/>
      <c r="X58" s="223"/>
      <c r="Y58" s="223"/>
    </row>
    <row r="59" spans="1:28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22"/>
      <c r="S59" s="222"/>
      <c r="T59" s="231"/>
      <c r="U59" s="231"/>
      <c r="V59" s="230"/>
    </row>
    <row r="60" spans="1:28" s="216" customFormat="1" ht="14.25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>
        <f>SUM(N20:N59)</f>
        <v>0</v>
      </c>
      <c r="O60" s="232">
        <f>SUM(O20:O59)</f>
        <v>0</v>
      </c>
      <c r="P60" s="232">
        <f>SUM(P20:P59)</f>
        <v>25</v>
      </c>
      <c r="Q60" s="232">
        <f>SUM(Q20:Q59)</f>
        <v>120</v>
      </c>
      <c r="R60" s="232"/>
      <c r="S60" s="305"/>
      <c r="T60" s="232">
        <f>SUM(T20:T59)</f>
        <v>8.98</v>
      </c>
      <c r="U60" s="305">
        <f>SUM(U20:U59)</f>
        <v>12.82</v>
      </c>
      <c r="V60" s="232"/>
    </row>
    <row r="61" spans="1:28" s="216" customFormat="1" ht="14.25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</row>
    <row r="62" spans="1:28">
      <c r="A62" s="223"/>
      <c r="B62" s="223"/>
      <c r="C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4"/>
      <c r="S62" s="224"/>
      <c r="T62" s="224"/>
      <c r="U62" s="224"/>
      <c r="V62" s="215"/>
    </row>
    <row r="63" spans="1:28">
      <c r="C63" s="234" t="s">
        <v>191</v>
      </c>
      <c r="D63" s="234" t="s">
        <v>181</v>
      </c>
      <c r="E63" s="234" t="s">
        <v>192</v>
      </c>
      <c r="F63" s="234" t="s">
        <v>193</v>
      </c>
      <c r="G63" s="234" t="s">
        <v>59</v>
      </c>
      <c r="H63" s="234" t="s">
        <v>27</v>
      </c>
      <c r="I63" s="234" t="s">
        <v>28</v>
      </c>
      <c r="J63" s="234" t="s">
        <v>29</v>
      </c>
      <c r="K63" s="234" t="s">
        <v>30</v>
      </c>
      <c r="L63" s="234" t="s">
        <v>145</v>
      </c>
      <c r="M63" s="234"/>
      <c r="N63" s="234"/>
      <c r="O63" s="234"/>
      <c r="P63" s="219" t="s">
        <v>31</v>
      </c>
      <c r="Q63" s="219" t="s">
        <v>32</v>
      </c>
    </row>
    <row r="64" spans="1:28">
      <c r="C64" s="235" t="s">
        <v>216</v>
      </c>
      <c r="D64" s="235" t="s">
        <v>222</v>
      </c>
      <c r="E64" s="235" t="s">
        <v>224</v>
      </c>
      <c r="F64" s="235" t="s">
        <v>262</v>
      </c>
      <c r="G64" s="230">
        <v>2</v>
      </c>
      <c r="H64" s="230">
        <v>5</v>
      </c>
      <c r="I64" s="230">
        <v>7</v>
      </c>
      <c r="J64" s="230">
        <v>6</v>
      </c>
      <c r="K64" s="230">
        <v>4</v>
      </c>
      <c r="L64" s="230"/>
      <c r="M64" s="234"/>
      <c r="N64" s="234"/>
      <c r="O64" s="234"/>
      <c r="P64" s="235">
        <v>5</v>
      </c>
      <c r="Q64" s="235">
        <v>24</v>
      </c>
      <c r="W64" s="214">
        <f>+SUM(G64:K64)</f>
        <v>24</v>
      </c>
      <c r="X64" s="214">
        <f>+Q64-W64</f>
        <v>0</v>
      </c>
    </row>
    <row r="65" spans="3:17">
      <c r="C65" s="235" t="s">
        <v>216</v>
      </c>
      <c r="D65" s="235" t="s">
        <v>222</v>
      </c>
      <c r="E65" s="235" t="s">
        <v>223</v>
      </c>
      <c r="F65" s="235" t="s">
        <v>258</v>
      </c>
      <c r="G65" s="230">
        <v>2</v>
      </c>
      <c r="H65" s="230">
        <v>5</v>
      </c>
      <c r="I65" s="230">
        <v>7</v>
      </c>
      <c r="J65" s="230">
        <v>6</v>
      </c>
      <c r="K65" s="230">
        <v>4</v>
      </c>
      <c r="L65" s="230"/>
      <c r="M65" s="234"/>
      <c r="N65" s="234"/>
      <c r="O65" s="234"/>
      <c r="P65" s="235">
        <v>5</v>
      </c>
      <c r="Q65" s="235">
        <v>24</v>
      </c>
    </row>
    <row r="66" spans="3:17">
      <c r="C66" s="235" t="s">
        <v>216</v>
      </c>
      <c r="D66" s="235" t="s">
        <v>230</v>
      </c>
      <c r="E66" s="235" t="s">
        <v>220</v>
      </c>
      <c r="F66" s="235" t="s">
        <v>232</v>
      </c>
      <c r="G66" s="230">
        <v>2</v>
      </c>
      <c r="H66" s="230">
        <v>5</v>
      </c>
      <c r="I66" s="230">
        <v>7</v>
      </c>
      <c r="J66" s="230">
        <v>6</v>
      </c>
      <c r="K66" s="230">
        <v>4</v>
      </c>
      <c r="L66" s="230"/>
      <c r="M66" s="234"/>
      <c r="N66" s="234"/>
      <c r="O66" s="234"/>
      <c r="P66" s="235">
        <v>5</v>
      </c>
      <c r="Q66" s="235">
        <v>24</v>
      </c>
    </row>
    <row r="67" spans="3:17">
      <c r="C67" s="235" t="s">
        <v>216</v>
      </c>
      <c r="D67" s="235" t="s">
        <v>226</v>
      </c>
      <c r="E67" s="235" t="s">
        <v>224</v>
      </c>
      <c r="F67" s="235" t="s">
        <v>262</v>
      </c>
      <c r="G67" s="230">
        <v>2</v>
      </c>
      <c r="H67" s="230">
        <v>5</v>
      </c>
      <c r="I67" s="230">
        <v>7</v>
      </c>
      <c r="J67" s="230">
        <v>6</v>
      </c>
      <c r="K67" s="230">
        <v>4</v>
      </c>
      <c r="L67" s="230"/>
      <c r="M67" s="234"/>
      <c r="N67" s="234"/>
      <c r="O67" s="234"/>
      <c r="P67" s="235">
        <v>5</v>
      </c>
      <c r="Q67" s="235">
        <v>24</v>
      </c>
    </row>
    <row r="68" spans="3:17">
      <c r="C68" s="235" t="s">
        <v>216</v>
      </c>
      <c r="D68" s="235" t="s">
        <v>226</v>
      </c>
      <c r="E68" s="235" t="s">
        <v>223</v>
      </c>
      <c r="F68" s="235" t="s">
        <v>258</v>
      </c>
      <c r="G68" s="230">
        <v>2</v>
      </c>
      <c r="H68" s="230">
        <v>5</v>
      </c>
      <c r="I68" s="230">
        <v>7</v>
      </c>
      <c r="J68" s="230">
        <v>6</v>
      </c>
      <c r="K68" s="230">
        <v>4</v>
      </c>
      <c r="L68" s="230"/>
      <c r="M68" s="234"/>
      <c r="N68" s="234"/>
      <c r="O68" s="234"/>
      <c r="P68" s="235">
        <v>5</v>
      </c>
      <c r="Q68" s="235">
        <v>24</v>
      </c>
    </row>
    <row r="69" spans="3:17">
      <c r="C69" s="235"/>
      <c r="D69" s="235"/>
      <c r="E69" s="235"/>
      <c r="F69" s="235"/>
      <c r="G69" s="230"/>
      <c r="H69" s="230"/>
      <c r="I69" s="230"/>
      <c r="J69" s="230"/>
      <c r="K69" s="230"/>
      <c r="L69" s="234"/>
      <c r="M69" s="234"/>
      <c r="N69" s="234"/>
      <c r="O69" s="234"/>
      <c r="P69" s="235"/>
      <c r="Q69" s="235"/>
    </row>
    <row r="70" spans="3:17"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</row>
    <row r="71" spans="3:17">
      <c r="C71" s="215"/>
      <c r="D71" s="215"/>
      <c r="E71" s="215"/>
      <c r="F71" s="215"/>
      <c r="G71" s="215"/>
      <c r="H71" s="215"/>
      <c r="I71" s="215"/>
      <c r="J71" s="218" t="s">
        <v>33</v>
      </c>
      <c r="K71" s="215"/>
      <c r="L71" s="218"/>
      <c r="M71" s="218"/>
      <c r="N71" s="218"/>
      <c r="O71" s="218"/>
      <c r="P71" s="218">
        <f>SUM(P64:P69)</f>
        <v>25</v>
      </c>
      <c r="Q71" s="218">
        <f>SUM(Q64:Q69)</f>
        <v>120</v>
      </c>
    </row>
    <row r="81" s="214" customFormat="1"/>
    <row r="82" s="214" customFormat="1"/>
    <row r="83" s="214" customFormat="1"/>
    <row r="84" s="214" customFormat="1"/>
    <row r="85" s="214" customFormat="1"/>
    <row r="86" s="214" customFormat="1"/>
    <row r="87" s="214" customFormat="1"/>
    <row r="88" s="214" customFormat="1"/>
    <row r="89" s="214" customFormat="1"/>
    <row r="90" s="214" customFormat="1"/>
    <row r="91" s="214" customFormat="1"/>
    <row r="92" s="214" customFormat="1"/>
    <row r="93" s="214" customFormat="1"/>
    <row r="94" s="214" customFormat="1"/>
    <row r="95" s="214" customFormat="1"/>
    <row r="96" s="214" customFormat="1"/>
    <row r="97" s="214" customFormat="1"/>
    <row r="98" s="214" customFormat="1"/>
    <row r="99" s="214" customFormat="1"/>
    <row r="100" s="214" customFormat="1"/>
    <row r="101" s="214" customFormat="1"/>
    <row r="102" s="214" customFormat="1"/>
    <row r="103" s="214" customFormat="1"/>
    <row r="104" s="214" customFormat="1"/>
    <row r="105" s="214" customFormat="1"/>
    <row r="106" s="214" customFormat="1"/>
    <row r="107" s="214" customFormat="1"/>
    <row r="108" s="214" customFormat="1"/>
    <row r="109" s="214" customFormat="1"/>
    <row r="110" s="214" customFormat="1"/>
    <row r="111" s="214" customFormat="1"/>
    <row r="112" s="214" customFormat="1"/>
    <row r="113" s="214" customFormat="1"/>
    <row r="114" s="214" customFormat="1"/>
    <row r="115" s="214" customFormat="1"/>
    <row r="116" s="214" customFormat="1"/>
    <row r="117" s="214" customFormat="1"/>
    <row r="118" s="214" customFormat="1"/>
    <row r="119" s="214" customFormat="1"/>
    <row r="120" s="214" customFormat="1"/>
    <row r="121" s="214" customFormat="1"/>
    <row r="122" s="214" customFormat="1"/>
    <row r="123" s="214" customFormat="1"/>
    <row r="124" s="214" customFormat="1"/>
    <row r="125" s="214" customFormat="1"/>
    <row r="126" s="214" customFormat="1"/>
    <row r="127" s="214" customFormat="1"/>
    <row r="128" s="214" customFormat="1"/>
    <row r="129" s="214" customFormat="1"/>
    <row r="130" s="214" customFormat="1"/>
    <row r="131" s="214" customFormat="1"/>
    <row r="132" s="214" customFormat="1"/>
    <row r="133" s="214" customFormat="1"/>
    <row r="134" s="214" customFormat="1"/>
    <row r="135" s="214" customFormat="1"/>
    <row r="136" s="214" customFormat="1"/>
    <row r="137" s="214" customFormat="1"/>
    <row r="138" s="214" customFormat="1"/>
    <row r="139" s="214" customFormat="1"/>
    <row r="140" s="214" customFormat="1"/>
    <row r="141" s="214" customFormat="1"/>
    <row r="142" s="214" customFormat="1"/>
    <row r="143" s="214" customFormat="1"/>
    <row r="144" s="214" customFormat="1"/>
    <row r="145" s="214" customFormat="1"/>
    <row r="146" s="214" customFormat="1"/>
    <row r="147" s="214" customFormat="1"/>
    <row r="148" s="214" customFormat="1"/>
    <row r="149" s="214" customFormat="1"/>
  </sheetData>
  <autoFilter ref="A18:ID18" xr:uid="{00000000-0009-0000-0000-000005000000}">
    <filterColumn colId="0" showButton="0"/>
    <filterColumn colId="1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98402777777777795" bottom="0.98402777777777795" header="0.51180555555555496" footer="0.51180555555555496"/>
  <pageSetup scale="54" fitToHeight="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6488-ABA6-4E06-80C9-0962DA883E62}">
  <sheetPr>
    <pageSetUpPr fitToPage="1"/>
  </sheetPr>
  <dimension ref="A1:CG67"/>
  <sheetViews>
    <sheetView view="pageBreakPreview" topLeftCell="A48" zoomScale="70" zoomScaleNormal="70" zoomScaleSheetLayoutView="70" workbookViewId="0">
      <selection activeCell="S62" sqref="S62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2.7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217</v>
      </c>
      <c r="G13" s="214" t="s">
        <v>176</v>
      </c>
    </row>
    <row r="14" spans="1:85">
      <c r="A14" s="291" t="s">
        <v>177</v>
      </c>
      <c r="B14" s="291"/>
      <c r="D14" s="214" t="str">
        <f>+B13</f>
        <v>WH96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/>
    </row>
    <row r="20" spans="1:28">
      <c r="A20" s="221">
        <v>1</v>
      </c>
      <c r="B20" s="221">
        <v>1</v>
      </c>
      <c r="C20" s="221"/>
      <c r="D20" s="221" t="s">
        <v>219</v>
      </c>
      <c r="E20" s="221" t="s">
        <v>231</v>
      </c>
      <c r="F20" s="221" t="s">
        <v>232</v>
      </c>
      <c r="G20" s="221">
        <v>36</v>
      </c>
      <c r="H20" s="221"/>
      <c r="I20" s="221"/>
      <c r="J20" s="221">
        <v>36</v>
      </c>
      <c r="K20" s="221"/>
      <c r="L20" s="221"/>
      <c r="M20" s="221"/>
      <c r="N20" s="221"/>
      <c r="O20" s="221"/>
      <c r="P20" s="221">
        <v>1</v>
      </c>
      <c r="Q20" s="221">
        <v>36</v>
      </c>
      <c r="R20" s="222">
        <f>+T20/P20</f>
        <v>3.23</v>
      </c>
      <c r="S20" s="222">
        <f>+U20/P20</f>
        <v>3.88</v>
      </c>
      <c r="T20" s="222">
        <v>3.23</v>
      </c>
      <c r="U20" s="222">
        <v>3.88</v>
      </c>
      <c r="V20" s="221" t="str">
        <f t="shared" ref="V20:V54" si="0">Z20&amp;"*"&amp;AA20&amp;"*"&amp;AB20</f>
        <v>40.64*38.1*11.43</v>
      </c>
      <c r="W20" s="223">
        <v>16</v>
      </c>
      <c r="X20" s="223">
        <v>15</v>
      </c>
      <c r="Y20" s="223">
        <v>4.5</v>
      </c>
      <c r="Z20" s="214">
        <f t="shared" ref="Z20:AB35" si="1">+W20*2.54</f>
        <v>40.64</v>
      </c>
      <c r="AA20" s="214">
        <f t="shared" ref="AA20:AB34" si="2">+X20*2.54</f>
        <v>38.1</v>
      </c>
      <c r="AB20" s="214">
        <f t="shared" si="2"/>
        <v>11.43</v>
      </c>
    </row>
    <row r="21" spans="1:28">
      <c r="A21" s="221">
        <v>2</v>
      </c>
      <c r="B21" s="221">
        <v>2</v>
      </c>
      <c r="C21" s="221" t="s">
        <v>189</v>
      </c>
      <c r="D21" s="221"/>
      <c r="E21" s="221"/>
      <c r="F21" s="221"/>
      <c r="G21" s="221">
        <v>29</v>
      </c>
      <c r="H21" s="221"/>
      <c r="I21" s="221">
        <v>29</v>
      </c>
      <c r="J21" s="221"/>
      <c r="K21" s="221"/>
      <c r="L21" s="221"/>
      <c r="M21" s="221"/>
      <c r="N21" s="221"/>
      <c r="O21" s="221"/>
      <c r="P21" s="221">
        <v>1</v>
      </c>
      <c r="Q21" s="221">
        <v>29</v>
      </c>
      <c r="R21" s="222">
        <f t="shared" ref="R21:R51" si="3">+T21/P21</f>
        <v>2.2400000000000002</v>
      </c>
      <c r="S21" s="222">
        <f t="shared" ref="S21:S51" si="4">+U21/P21</f>
        <v>3.06</v>
      </c>
      <c r="T21" s="222">
        <v>2.2400000000000002</v>
      </c>
      <c r="U21" s="222">
        <v>3.06</v>
      </c>
      <c r="V21" s="221" t="str">
        <f t="shared" si="0"/>
        <v>40.64*39.37*10.16</v>
      </c>
      <c r="W21" s="223">
        <v>16</v>
      </c>
      <c r="X21" s="223">
        <v>15.5</v>
      </c>
      <c r="Y21" s="223">
        <v>4</v>
      </c>
      <c r="Z21" s="214">
        <f t="shared" si="1"/>
        <v>40.64</v>
      </c>
      <c r="AA21" s="214">
        <f t="shared" si="2"/>
        <v>39.369999999999997</v>
      </c>
      <c r="AB21" s="214">
        <f t="shared" si="2"/>
        <v>10.16</v>
      </c>
    </row>
    <row r="22" spans="1:28">
      <c r="A22" s="230">
        <v>3</v>
      </c>
      <c r="B22" s="230">
        <v>3</v>
      </c>
      <c r="C22" s="230" t="s">
        <v>189</v>
      </c>
      <c r="D22" s="230"/>
      <c r="E22" s="230"/>
      <c r="F22" s="230"/>
      <c r="G22" s="230">
        <v>29</v>
      </c>
      <c r="H22" s="230"/>
      <c r="I22" s="230"/>
      <c r="J22" s="230"/>
      <c r="K22" s="230">
        <v>29</v>
      </c>
      <c r="L22" s="230"/>
      <c r="M22" s="230"/>
      <c r="N22" s="230"/>
      <c r="O22" s="230"/>
      <c r="P22" s="221">
        <v>1</v>
      </c>
      <c r="Q22" s="230">
        <v>29</v>
      </c>
      <c r="R22" s="222">
        <f t="shared" si="3"/>
        <v>2.85</v>
      </c>
      <c r="S22" s="222">
        <f t="shared" si="4"/>
        <v>3.5</v>
      </c>
      <c r="T22" s="231">
        <v>2.85</v>
      </c>
      <c r="U22" s="231">
        <v>3.5</v>
      </c>
      <c r="V22" s="221" t="str">
        <f t="shared" si="0"/>
        <v>40.64*38.1*11.43</v>
      </c>
      <c r="W22" s="223">
        <v>16</v>
      </c>
      <c r="X22" s="223">
        <v>15</v>
      </c>
      <c r="Y22" s="223">
        <v>4.5</v>
      </c>
      <c r="Z22" s="214">
        <f t="shared" si="1"/>
        <v>40.64</v>
      </c>
      <c r="AA22" s="214">
        <f t="shared" si="2"/>
        <v>38.1</v>
      </c>
      <c r="AB22" s="214">
        <f t="shared" si="2"/>
        <v>11.43</v>
      </c>
    </row>
    <row r="23" spans="1:28">
      <c r="A23" s="230">
        <v>4</v>
      </c>
      <c r="B23" s="230">
        <v>4</v>
      </c>
      <c r="C23" s="230" t="s">
        <v>189</v>
      </c>
      <c r="D23" s="230"/>
      <c r="E23" s="230"/>
      <c r="F23" s="230"/>
      <c r="G23" s="230">
        <v>13</v>
      </c>
      <c r="H23" s="230"/>
      <c r="I23" s="230"/>
      <c r="J23" s="230"/>
      <c r="K23" s="230"/>
      <c r="L23" s="230">
        <v>13</v>
      </c>
      <c r="M23" s="230"/>
      <c r="N23" s="230"/>
      <c r="O23" s="230"/>
      <c r="P23" s="230">
        <v>1</v>
      </c>
      <c r="Q23" s="230">
        <v>13</v>
      </c>
      <c r="R23" s="222">
        <f t="shared" si="3"/>
        <v>1.22</v>
      </c>
      <c r="S23" s="222">
        <f t="shared" si="4"/>
        <v>1.7</v>
      </c>
      <c r="T23" s="231">
        <v>1.22</v>
      </c>
      <c r="U23" s="231">
        <v>1.7</v>
      </c>
      <c r="V23" s="221" t="str">
        <f t="shared" si="0"/>
        <v>40.64*22.86*8.89</v>
      </c>
      <c r="W23" s="223">
        <v>16</v>
      </c>
      <c r="X23" s="223">
        <v>9</v>
      </c>
      <c r="Y23" s="223">
        <v>3.5</v>
      </c>
      <c r="Z23" s="214">
        <f t="shared" si="1"/>
        <v>40.64</v>
      </c>
      <c r="AA23" s="214">
        <f t="shared" si="2"/>
        <v>22.86</v>
      </c>
      <c r="AB23" s="214">
        <f t="shared" si="2"/>
        <v>8.89</v>
      </c>
    </row>
    <row r="24" spans="1:28">
      <c r="A24" s="230" t="s">
        <v>278</v>
      </c>
      <c r="B24" s="230"/>
      <c r="C24" s="230" t="s">
        <v>198</v>
      </c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>
        <v>19</v>
      </c>
      <c r="X24" s="223">
        <v>11</v>
      </c>
      <c r="Y24" s="223">
        <v>4.5</v>
      </c>
      <c r="Z24" s="214">
        <f t="shared" si="1"/>
        <v>48.26</v>
      </c>
      <c r="AA24" s="214">
        <f t="shared" si="2"/>
        <v>27.94</v>
      </c>
      <c r="AB24" s="214">
        <f t="shared" si="2"/>
        <v>11.43</v>
      </c>
    </row>
    <row r="25" spans="1:28">
      <c r="A25" s="230">
        <v>5</v>
      </c>
      <c r="B25" s="230">
        <v>5</v>
      </c>
      <c r="C25" s="230" t="s">
        <v>190</v>
      </c>
      <c r="D25" s="230"/>
      <c r="E25" s="230"/>
      <c r="F25" s="230"/>
      <c r="G25" s="230">
        <v>5</v>
      </c>
      <c r="H25" s="230">
        <v>5</v>
      </c>
      <c r="I25" s="230"/>
      <c r="J25" s="230"/>
      <c r="K25" s="230"/>
      <c r="L25" s="230"/>
      <c r="M25" s="230"/>
      <c r="N25" s="230"/>
      <c r="O25" s="230"/>
      <c r="P25" s="230">
        <v>1</v>
      </c>
      <c r="Q25" s="230">
        <v>5</v>
      </c>
      <c r="R25" s="222">
        <f t="shared" si="3"/>
        <v>0.44</v>
      </c>
      <c r="S25" s="222">
        <f t="shared" si="4"/>
        <v>0.64</v>
      </c>
      <c r="T25" s="231">
        <v>0.44</v>
      </c>
      <c r="U25" s="231">
        <v>0.64</v>
      </c>
      <c r="V25" s="221" t="str">
        <f t="shared" si="0"/>
        <v>22.86*22.86*7.62</v>
      </c>
      <c r="W25" s="223">
        <v>9</v>
      </c>
      <c r="X25" s="223">
        <v>9</v>
      </c>
      <c r="Y25" s="223">
        <v>3</v>
      </c>
      <c r="Z25" s="214">
        <f t="shared" si="1"/>
        <v>22.86</v>
      </c>
      <c r="AA25" s="214">
        <f t="shared" si="2"/>
        <v>22.86</v>
      </c>
      <c r="AB25" s="214">
        <f t="shared" si="2"/>
        <v>7.62</v>
      </c>
    </row>
    <row r="26" spans="1:28">
      <c r="A26" s="230">
        <v>6</v>
      </c>
      <c r="B26" s="230">
        <v>6</v>
      </c>
      <c r="C26" s="230" t="s">
        <v>190</v>
      </c>
      <c r="D26" s="230"/>
      <c r="E26" s="230"/>
      <c r="F26" s="230"/>
      <c r="G26" s="230">
        <v>8</v>
      </c>
      <c r="H26" s="230"/>
      <c r="I26" s="230"/>
      <c r="J26" s="230"/>
      <c r="K26" s="230"/>
      <c r="L26" s="230"/>
      <c r="M26" s="230">
        <v>8</v>
      </c>
      <c r="N26" s="230"/>
      <c r="O26" s="230"/>
      <c r="P26" s="230"/>
      <c r="Q26" s="230">
        <v>8</v>
      </c>
      <c r="R26" s="222"/>
      <c r="S26" s="222"/>
      <c r="T26" s="231"/>
      <c r="U26" s="231">
        <v>0</v>
      </c>
      <c r="V26" s="221" t="str">
        <f t="shared" si="0"/>
        <v>22.86*22.86*7.62</v>
      </c>
      <c r="W26" s="223">
        <v>9</v>
      </c>
      <c r="X26" s="223">
        <v>9</v>
      </c>
      <c r="Y26" s="223">
        <v>3</v>
      </c>
      <c r="Z26" s="214">
        <f t="shared" si="1"/>
        <v>22.86</v>
      </c>
      <c r="AA26" s="214">
        <f t="shared" si="2"/>
        <v>22.86</v>
      </c>
      <c r="AB26" s="214">
        <f t="shared" si="2"/>
        <v>7.62</v>
      </c>
    </row>
    <row r="27" spans="1:28">
      <c r="A27" s="230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2"/>
      <c r="S27" s="222"/>
      <c r="T27" s="231"/>
      <c r="U27" s="231"/>
      <c r="V27" s="221"/>
      <c r="W27" s="223"/>
      <c r="X27" s="223"/>
      <c r="Y27" s="223"/>
      <c r="Z27" s="214">
        <f t="shared" si="1"/>
        <v>0</v>
      </c>
      <c r="AA27" s="214">
        <f t="shared" si="2"/>
        <v>0</v>
      </c>
      <c r="AB27" s="214">
        <f t="shared" si="2"/>
        <v>0</v>
      </c>
    </row>
    <row r="28" spans="1:28">
      <c r="A28" s="230">
        <v>7</v>
      </c>
      <c r="B28" s="230">
        <v>7</v>
      </c>
      <c r="C28" s="230" t="s">
        <v>189</v>
      </c>
      <c r="D28" s="230" t="s">
        <v>221</v>
      </c>
      <c r="E28" s="230" t="s">
        <v>231</v>
      </c>
      <c r="F28" s="230" t="s">
        <v>232</v>
      </c>
      <c r="G28" s="230">
        <v>30</v>
      </c>
      <c r="H28" s="230"/>
      <c r="I28" s="230">
        <v>30</v>
      </c>
      <c r="J28" s="230"/>
      <c r="K28" s="230"/>
      <c r="L28" s="230"/>
      <c r="M28" s="230"/>
      <c r="N28" s="230"/>
      <c r="O28" s="230"/>
      <c r="P28" s="230">
        <v>1</v>
      </c>
      <c r="Q28" s="230">
        <v>30</v>
      </c>
      <c r="R28" s="222">
        <f t="shared" si="3"/>
        <v>2.23</v>
      </c>
      <c r="S28" s="222">
        <f t="shared" si="4"/>
        <v>2.98</v>
      </c>
      <c r="T28" s="231">
        <v>2.23</v>
      </c>
      <c r="U28" s="231">
        <v>2.98</v>
      </c>
      <c r="V28" s="221" t="str">
        <f t="shared" si="0"/>
        <v>40.64*40.64*16.51</v>
      </c>
      <c r="W28" s="223">
        <v>16</v>
      </c>
      <c r="X28" s="223">
        <v>16</v>
      </c>
      <c r="Y28" s="223">
        <v>6.5</v>
      </c>
      <c r="Z28" s="214">
        <f t="shared" si="1"/>
        <v>40.64</v>
      </c>
      <c r="AA28" s="214">
        <f t="shared" si="2"/>
        <v>40.64</v>
      </c>
      <c r="AB28" s="214">
        <f t="shared" si="2"/>
        <v>16.510000000000002</v>
      </c>
    </row>
    <row r="29" spans="1:28">
      <c r="A29" s="230">
        <v>8</v>
      </c>
      <c r="B29" s="230">
        <v>8</v>
      </c>
      <c r="C29" s="230" t="s">
        <v>189</v>
      </c>
      <c r="D29" s="230"/>
      <c r="E29" s="230"/>
      <c r="F29" s="230"/>
      <c r="G29" s="230">
        <v>35</v>
      </c>
      <c r="H29" s="230"/>
      <c r="I29" s="230"/>
      <c r="J29" s="230">
        <v>35</v>
      </c>
      <c r="K29" s="230"/>
      <c r="L29" s="230"/>
      <c r="M29" s="230"/>
      <c r="N29" s="230"/>
      <c r="O29" s="230"/>
      <c r="P29" s="230">
        <v>1</v>
      </c>
      <c r="Q29" s="230">
        <v>35</v>
      </c>
      <c r="R29" s="222">
        <f t="shared" si="3"/>
        <v>2.79</v>
      </c>
      <c r="S29" s="222">
        <f t="shared" si="4"/>
        <v>3.56</v>
      </c>
      <c r="T29" s="231">
        <v>2.79</v>
      </c>
      <c r="U29" s="231">
        <v>3.56</v>
      </c>
      <c r="V29" s="221" t="str">
        <f t="shared" si="0"/>
        <v>40.64*38.1*19.05</v>
      </c>
      <c r="W29" s="223">
        <v>16</v>
      </c>
      <c r="X29" s="223">
        <v>15</v>
      </c>
      <c r="Y29" s="223">
        <v>7.5</v>
      </c>
      <c r="Z29" s="214">
        <f t="shared" si="1"/>
        <v>40.64</v>
      </c>
      <c r="AA29" s="214">
        <f t="shared" si="2"/>
        <v>38.1</v>
      </c>
      <c r="AB29" s="214">
        <f t="shared" si="2"/>
        <v>19.05</v>
      </c>
    </row>
    <row r="30" spans="1:28">
      <c r="A30" s="230">
        <v>9</v>
      </c>
      <c r="B30" s="230">
        <v>9</v>
      </c>
      <c r="C30" s="230" t="s">
        <v>189</v>
      </c>
      <c r="D30" s="230"/>
      <c r="E30" s="230"/>
      <c r="F30" s="230"/>
      <c r="G30" s="230">
        <v>29</v>
      </c>
      <c r="H30" s="230"/>
      <c r="I30" s="230"/>
      <c r="J30" s="230"/>
      <c r="K30" s="230">
        <v>29</v>
      </c>
      <c r="L30" s="230"/>
      <c r="M30" s="230"/>
      <c r="N30" s="230"/>
      <c r="O30" s="230"/>
      <c r="P30" s="230">
        <v>1</v>
      </c>
      <c r="Q30" s="230">
        <v>29</v>
      </c>
      <c r="R30" s="222">
        <f t="shared" si="3"/>
        <v>2.61</v>
      </c>
      <c r="S30" s="222">
        <f t="shared" si="4"/>
        <v>3.36</v>
      </c>
      <c r="T30" s="231">
        <v>2.61</v>
      </c>
      <c r="U30" s="231">
        <v>3.36</v>
      </c>
      <c r="V30" s="221" t="str">
        <f t="shared" si="0"/>
        <v>40.64*40.64*16.51</v>
      </c>
      <c r="W30" s="223">
        <v>16</v>
      </c>
      <c r="X30" s="223">
        <v>16</v>
      </c>
      <c r="Y30" s="223">
        <v>6.5</v>
      </c>
      <c r="Z30" s="214">
        <f t="shared" si="1"/>
        <v>40.64</v>
      </c>
      <c r="AA30" s="214">
        <f t="shared" si="2"/>
        <v>40.64</v>
      </c>
      <c r="AB30" s="214">
        <f t="shared" si="2"/>
        <v>16.510000000000002</v>
      </c>
    </row>
    <row r="31" spans="1:28">
      <c r="A31" s="230">
        <v>10</v>
      </c>
      <c r="B31" s="230">
        <v>10</v>
      </c>
      <c r="C31" s="230" t="s">
        <v>189</v>
      </c>
      <c r="D31" s="230"/>
      <c r="E31" s="230"/>
      <c r="F31" s="230"/>
      <c r="G31" s="230">
        <v>13</v>
      </c>
      <c r="H31" s="230"/>
      <c r="I31" s="230"/>
      <c r="J31" s="230"/>
      <c r="K31" s="230"/>
      <c r="L31" s="230">
        <v>13</v>
      </c>
      <c r="M31" s="230"/>
      <c r="N31" s="230"/>
      <c r="O31" s="230"/>
      <c r="P31" s="230">
        <v>1</v>
      </c>
      <c r="Q31" s="230">
        <v>13</v>
      </c>
      <c r="R31" s="222">
        <f t="shared" si="3"/>
        <v>1.48</v>
      </c>
      <c r="S31" s="222">
        <f t="shared" si="4"/>
        <v>2.06</v>
      </c>
      <c r="T31" s="231">
        <v>1.48</v>
      </c>
      <c r="U31" s="231">
        <v>2.06</v>
      </c>
      <c r="V31" s="221" t="str">
        <f t="shared" si="0"/>
        <v>40.64*39.37*7.62</v>
      </c>
      <c r="W31" s="223">
        <v>16</v>
      </c>
      <c r="X31" s="223">
        <v>15.5</v>
      </c>
      <c r="Y31" s="223">
        <v>3</v>
      </c>
      <c r="Z31" s="214">
        <f t="shared" si="1"/>
        <v>40.64</v>
      </c>
      <c r="AA31" s="214">
        <f t="shared" si="2"/>
        <v>39.369999999999997</v>
      </c>
      <c r="AB31" s="214">
        <f t="shared" si="2"/>
        <v>7.62</v>
      </c>
    </row>
    <row r="32" spans="1:28">
      <c r="A32" s="230" t="s">
        <v>199</v>
      </c>
      <c r="B32" s="230"/>
      <c r="C32" s="230" t="s">
        <v>198</v>
      </c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22"/>
      <c r="S32" s="222"/>
      <c r="T32" s="231"/>
      <c r="U32" s="231"/>
      <c r="V32" s="221"/>
      <c r="W32" s="223">
        <v>19</v>
      </c>
      <c r="X32" s="223">
        <v>17</v>
      </c>
      <c r="Y32" s="223">
        <v>4</v>
      </c>
      <c r="Z32" s="214">
        <f t="shared" si="1"/>
        <v>48.26</v>
      </c>
      <c r="AA32" s="214">
        <f t="shared" si="2"/>
        <v>43.18</v>
      </c>
      <c r="AB32" s="214">
        <f t="shared" si="2"/>
        <v>10.16</v>
      </c>
    </row>
    <row r="33" spans="1:28">
      <c r="A33" s="230">
        <v>11</v>
      </c>
      <c r="B33" s="230">
        <v>11</v>
      </c>
      <c r="C33" s="230" t="s">
        <v>190</v>
      </c>
      <c r="D33" s="230"/>
      <c r="E33" s="230"/>
      <c r="F33" s="230"/>
      <c r="G33" s="230">
        <v>5</v>
      </c>
      <c r="H33" s="230">
        <v>5</v>
      </c>
      <c r="I33" s="230"/>
      <c r="J33" s="230"/>
      <c r="K33" s="230"/>
      <c r="L33" s="230"/>
      <c r="M33" s="230"/>
      <c r="N33" s="230"/>
      <c r="O33" s="230"/>
      <c r="P33" s="230">
        <v>1</v>
      </c>
      <c r="Q33" s="230">
        <v>5</v>
      </c>
      <c r="R33" s="222">
        <f t="shared" si="3"/>
        <v>0.38000000000000006</v>
      </c>
      <c r="S33" s="222">
        <f t="shared" si="4"/>
        <v>0.68</v>
      </c>
      <c r="T33" s="231">
        <v>0.38000000000000006</v>
      </c>
      <c r="U33" s="231">
        <v>0.68</v>
      </c>
      <c r="V33" s="221" t="str">
        <f t="shared" si="0"/>
        <v>40.64*22.86*7.62</v>
      </c>
      <c r="W33" s="223">
        <v>16</v>
      </c>
      <c r="X33" s="223">
        <v>9</v>
      </c>
      <c r="Y33" s="223">
        <v>3</v>
      </c>
      <c r="Z33" s="214">
        <f t="shared" si="1"/>
        <v>40.64</v>
      </c>
      <c r="AA33" s="214">
        <f t="shared" si="2"/>
        <v>22.86</v>
      </c>
      <c r="AB33" s="214">
        <f t="shared" si="2"/>
        <v>7.62</v>
      </c>
    </row>
    <row r="34" spans="1:28">
      <c r="A34" s="230">
        <v>12</v>
      </c>
      <c r="B34" s="230">
        <v>12</v>
      </c>
      <c r="C34" s="230" t="s">
        <v>190</v>
      </c>
      <c r="D34" s="230"/>
      <c r="E34" s="230"/>
      <c r="F34" s="230"/>
      <c r="G34" s="230">
        <v>8</v>
      </c>
      <c r="H34" s="230"/>
      <c r="I34" s="230"/>
      <c r="J34" s="230"/>
      <c r="K34" s="230"/>
      <c r="L34" s="230"/>
      <c r="M34" s="230">
        <v>8</v>
      </c>
      <c r="N34" s="230"/>
      <c r="O34" s="230"/>
      <c r="P34" s="230"/>
      <c r="Q34" s="230">
        <v>8</v>
      </c>
      <c r="R34" s="222"/>
      <c r="S34" s="222"/>
      <c r="T34" s="231"/>
      <c r="U34" s="231">
        <v>1.2</v>
      </c>
      <c r="V34" s="221" t="str">
        <f t="shared" si="0"/>
        <v>40.64*22.86*7.62</v>
      </c>
      <c r="W34" s="223">
        <v>16</v>
      </c>
      <c r="X34" s="223">
        <v>9</v>
      </c>
      <c r="Y34" s="223">
        <v>3</v>
      </c>
      <c r="Z34" s="214">
        <f t="shared" si="1"/>
        <v>40.64</v>
      </c>
      <c r="AA34" s="214">
        <f t="shared" si="2"/>
        <v>22.86</v>
      </c>
      <c r="AB34" s="214">
        <f t="shared" si="2"/>
        <v>7.62</v>
      </c>
    </row>
    <row r="35" spans="1:28">
      <c r="A35" s="230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22"/>
      <c r="S35" s="222"/>
      <c r="T35" s="231"/>
      <c r="U35" s="231"/>
      <c r="V35" s="221"/>
      <c r="W35" s="223"/>
      <c r="X35" s="223"/>
      <c r="Y35" s="223"/>
      <c r="Z35" s="214">
        <f t="shared" si="1"/>
        <v>0</v>
      </c>
      <c r="AA35" s="214">
        <f t="shared" si="1"/>
        <v>0</v>
      </c>
      <c r="AB35" s="214">
        <f t="shared" si="1"/>
        <v>0</v>
      </c>
    </row>
    <row r="36" spans="1:28">
      <c r="A36" s="230">
        <v>13</v>
      </c>
      <c r="B36" s="230">
        <v>13</v>
      </c>
      <c r="C36" s="230"/>
      <c r="D36" s="230" t="s">
        <v>227</v>
      </c>
      <c r="E36" s="230" t="s">
        <v>231</v>
      </c>
      <c r="F36" s="230" t="s">
        <v>232</v>
      </c>
      <c r="G36" s="230">
        <v>36</v>
      </c>
      <c r="H36" s="230"/>
      <c r="I36" s="230"/>
      <c r="J36" s="230">
        <v>36</v>
      </c>
      <c r="K36" s="230"/>
      <c r="L36" s="230"/>
      <c r="M36" s="230"/>
      <c r="N36" s="230"/>
      <c r="O36" s="230"/>
      <c r="P36" s="230">
        <v>1</v>
      </c>
      <c r="Q36" s="230">
        <v>36</v>
      </c>
      <c r="R36" s="222">
        <f t="shared" si="3"/>
        <v>5.64</v>
      </c>
      <c r="S36" s="222">
        <f t="shared" si="4"/>
        <v>6.5</v>
      </c>
      <c r="T36" s="231">
        <v>5.64</v>
      </c>
      <c r="U36" s="231">
        <v>6.5</v>
      </c>
      <c r="V36" s="221" t="str">
        <f t="shared" si="0"/>
        <v>50.8*43.18*13.97</v>
      </c>
      <c r="W36" s="223">
        <v>20</v>
      </c>
      <c r="X36" s="223">
        <v>17</v>
      </c>
      <c r="Y36" s="223">
        <v>5.5</v>
      </c>
      <c r="Z36" s="214">
        <f t="shared" ref="Z36:AB54" si="5">+W36*2.54</f>
        <v>50.8</v>
      </c>
      <c r="AA36" s="214">
        <f t="shared" si="5"/>
        <v>43.18</v>
      </c>
      <c r="AB36" s="214">
        <f t="shared" si="5"/>
        <v>13.97</v>
      </c>
    </row>
    <row r="37" spans="1:28">
      <c r="A37" s="230">
        <v>14</v>
      </c>
      <c r="B37" s="230">
        <v>14</v>
      </c>
      <c r="C37" s="230" t="s">
        <v>189</v>
      </c>
      <c r="D37" s="230"/>
      <c r="E37" s="230"/>
      <c r="F37" s="230"/>
      <c r="G37" s="230">
        <v>29</v>
      </c>
      <c r="H37" s="230"/>
      <c r="I37" s="230">
        <v>29</v>
      </c>
      <c r="J37" s="230"/>
      <c r="K37" s="230"/>
      <c r="L37" s="230"/>
      <c r="M37" s="230"/>
      <c r="N37" s="230"/>
      <c r="O37" s="230"/>
      <c r="P37" s="230">
        <v>1</v>
      </c>
      <c r="Q37" s="230">
        <v>29</v>
      </c>
      <c r="R37" s="222">
        <f t="shared" si="3"/>
        <v>4.1400000000000006</v>
      </c>
      <c r="S37" s="222">
        <f t="shared" si="4"/>
        <v>4.9400000000000004</v>
      </c>
      <c r="T37" s="231">
        <v>4.1400000000000006</v>
      </c>
      <c r="U37" s="231">
        <v>4.9400000000000004</v>
      </c>
      <c r="V37" s="221" t="str">
        <f t="shared" si="0"/>
        <v>50.8*43.18*12.7</v>
      </c>
      <c r="W37" s="223">
        <v>20</v>
      </c>
      <c r="X37" s="223">
        <v>17</v>
      </c>
      <c r="Y37" s="223">
        <v>5</v>
      </c>
      <c r="Z37" s="214">
        <f t="shared" si="5"/>
        <v>50.8</v>
      </c>
      <c r="AA37" s="214">
        <f t="shared" si="5"/>
        <v>43.18</v>
      </c>
      <c r="AB37" s="214">
        <f t="shared" si="5"/>
        <v>12.7</v>
      </c>
    </row>
    <row r="38" spans="1:28">
      <c r="A38" s="230">
        <v>15</v>
      </c>
      <c r="B38" s="230">
        <v>15</v>
      </c>
      <c r="C38" s="230" t="s">
        <v>189</v>
      </c>
      <c r="D38" s="230"/>
      <c r="E38" s="230"/>
      <c r="F38" s="230"/>
      <c r="G38" s="230">
        <v>30</v>
      </c>
      <c r="H38" s="230"/>
      <c r="I38" s="230"/>
      <c r="J38" s="230"/>
      <c r="K38" s="230">
        <v>30</v>
      </c>
      <c r="L38" s="230"/>
      <c r="M38" s="230"/>
      <c r="N38" s="230"/>
      <c r="O38" s="230"/>
      <c r="P38" s="230">
        <v>1</v>
      </c>
      <c r="Q38" s="230">
        <v>30</v>
      </c>
      <c r="R38" s="222">
        <f t="shared" si="3"/>
        <v>5.0599999999999996</v>
      </c>
      <c r="S38" s="222">
        <f t="shared" si="4"/>
        <v>5.92</v>
      </c>
      <c r="T38" s="231">
        <v>5.0599999999999996</v>
      </c>
      <c r="U38" s="231">
        <v>5.92</v>
      </c>
      <c r="V38" s="221" t="str">
        <f t="shared" si="0"/>
        <v>50.8*43.18*13.97</v>
      </c>
      <c r="W38" s="223">
        <v>20</v>
      </c>
      <c r="X38" s="223">
        <v>17</v>
      </c>
      <c r="Y38" s="223">
        <v>5.5</v>
      </c>
      <c r="Z38" s="214">
        <f t="shared" si="5"/>
        <v>50.8</v>
      </c>
      <c r="AA38" s="214">
        <f t="shared" si="5"/>
        <v>43.18</v>
      </c>
      <c r="AB38" s="214">
        <f t="shared" si="5"/>
        <v>13.97</v>
      </c>
    </row>
    <row r="39" spans="1:28">
      <c r="A39" s="230">
        <v>16</v>
      </c>
      <c r="B39" s="230">
        <v>16</v>
      </c>
      <c r="C39" s="230" t="s">
        <v>189</v>
      </c>
      <c r="D39" s="230"/>
      <c r="E39" s="230"/>
      <c r="F39" s="230"/>
      <c r="G39" s="230">
        <v>13</v>
      </c>
      <c r="H39" s="230"/>
      <c r="I39" s="230"/>
      <c r="J39" s="230"/>
      <c r="K39" s="230"/>
      <c r="L39" s="230">
        <v>13</v>
      </c>
      <c r="M39" s="230"/>
      <c r="N39" s="230"/>
      <c r="O39" s="230"/>
      <c r="P39" s="230">
        <v>1</v>
      </c>
      <c r="Q39" s="230">
        <v>13</v>
      </c>
      <c r="R39" s="222">
        <f t="shared" si="3"/>
        <v>2.0999999999999996</v>
      </c>
      <c r="S39" s="222">
        <f t="shared" si="4"/>
        <v>2.78</v>
      </c>
      <c r="T39" s="231">
        <v>2.0999999999999996</v>
      </c>
      <c r="U39" s="231">
        <v>2.78</v>
      </c>
      <c r="V39" s="221" t="str">
        <f t="shared" si="0"/>
        <v>43.18*25.4*11.43</v>
      </c>
      <c r="W39" s="223">
        <v>17</v>
      </c>
      <c r="X39" s="223">
        <v>10</v>
      </c>
      <c r="Y39" s="223">
        <v>4.5</v>
      </c>
      <c r="Z39" s="214">
        <f t="shared" si="5"/>
        <v>43.18</v>
      </c>
      <c r="AA39" s="214">
        <f t="shared" si="5"/>
        <v>25.4</v>
      </c>
      <c r="AB39" s="214">
        <f t="shared" si="5"/>
        <v>11.43</v>
      </c>
    </row>
    <row r="40" spans="1:28">
      <c r="A40" s="230" t="s">
        <v>279</v>
      </c>
      <c r="B40" s="230"/>
      <c r="C40" s="230" t="s">
        <v>198</v>
      </c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22"/>
      <c r="S40" s="222"/>
      <c r="T40" s="231"/>
      <c r="U40" s="231"/>
      <c r="V40" s="221"/>
      <c r="W40" s="223">
        <v>19</v>
      </c>
      <c r="X40" s="223">
        <v>11</v>
      </c>
      <c r="Y40" s="223">
        <v>8.5</v>
      </c>
      <c r="Z40" s="214">
        <f t="shared" si="5"/>
        <v>48.26</v>
      </c>
      <c r="AA40" s="214">
        <f t="shared" si="5"/>
        <v>27.94</v>
      </c>
      <c r="AB40" s="214">
        <f t="shared" si="5"/>
        <v>21.59</v>
      </c>
    </row>
    <row r="41" spans="1:28">
      <c r="A41" s="230">
        <v>17</v>
      </c>
      <c r="B41" s="230">
        <v>17</v>
      </c>
      <c r="C41" s="230" t="s">
        <v>190</v>
      </c>
      <c r="D41" s="230"/>
      <c r="E41" s="230"/>
      <c r="F41" s="230"/>
      <c r="G41" s="230">
        <v>4</v>
      </c>
      <c r="H41" s="230">
        <v>4</v>
      </c>
      <c r="I41" s="230"/>
      <c r="J41" s="230"/>
      <c r="K41" s="230"/>
      <c r="L41" s="230"/>
      <c r="M41" s="230"/>
      <c r="N41" s="230"/>
      <c r="O41" s="230"/>
      <c r="P41" s="230">
        <v>1</v>
      </c>
      <c r="Q41" s="230">
        <v>4</v>
      </c>
      <c r="R41" s="222">
        <f t="shared" si="3"/>
        <v>0.52</v>
      </c>
      <c r="S41" s="222">
        <f t="shared" si="4"/>
        <v>0.82</v>
      </c>
      <c r="T41" s="231">
        <v>0.52</v>
      </c>
      <c r="U41" s="231">
        <v>0.82</v>
      </c>
      <c r="V41" s="221" t="str">
        <f t="shared" si="0"/>
        <v>25.4*22.86*8.89</v>
      </c>
      <c r="W41" s="223">
        <v>10</v>
      </c>
      <c r="X41" s="223">
        <v>9</v>
      </c>
      <c r="Y41" s="223">
        <v>3.5</v>
      </c>
      <c r="Z41" s="214">
        <f t="shared" si="5"/>
        <v>25.4</v>
      </c>
      <c r="AA41" s="214">
        <f t="shared" si="5"/>
        <v>22.86</v>
      </c>
      <c r="AB41" s="214">
        <f t="shared" si="5"/>
        <v>8.89</v>
      </c>
    </row>
    <row r="42" spans="1:28">
      <c r="A42" s="230">
        <v>18</v>
      </c>
      <c r="B42" s="230">
        <v>18</v>
      </c>
      <c r="C42" s="230" t="s">
        <v>190</v>
      </c>
      <c r="D42" s="230"/>
      <c r="E42" s="230"/>
      <c r="F42" s="230"/>
      <c r="G42" s="230">
        <v>8</v>
      </c>
      <c r="H42" s="230"/>
      <c r="I42" s="230"/>
      <c r="J42" s="230"/>
      <c r="K42" s="230"/>
      <c r="L42" s="230"/>
      <c r="M42" s="230">
        <v>8</v>
      </c>
      <c r="N42" s="230"/>
      <c r="O42" s="230"/>
      <c r="P42" s="230"/>
      <c r="Q42" s="230">
        <v>8</v>
      </c>
      <c r="R42" s="222"/>
      <c r="S42" s="222"/>
      <c r="T42" s="231"/>
      <c r="U42" s="231">
        <v>0</v>
      </c>
      <c r="V42" s="221" t="str">
        <f t="shared" si="0"/>
        <v>44.45*25.4*7.62</v>
      </c>
      <c r="W42" s="223">
        <v>17.5</v>
      </c>
      <c r="X42" s="223">
        <v>10</v>
      </c>
      <c r="Y42" s="223">
        <v>3</v>
      </c>
      <c r="Z42" s="214">
        <f t="shared" si="5"/>
        <v>44.45</v>
      </c>
      <c r="AA42" s="214">
        <f t="shared" si="5"/>
        <v>25.4</v>
      </c>
      <c r="AB42" s="214">
        <f t="shared" si="5"/>
        <v>7.62</v>
      </c>
    </row>
    <row r="43" spans="1:28">
      <c r="A43" s="230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22"/>
      <c r="S43" s="222"/>
      <c r="T43" s="231"/>
      <c r="U43" s="231"/>
      <c r="V43" s="221"/>
      <c r="W43" s="223"/>
      <c r="X43" s="223"/>
      <c r="Y43" s="223"/>
      <c r="Z43" s="214">
        <f t="shared" si="5"/>
        <v>0</v>
      </c>
      <c r="AA43" s="214">
        <f t="shared" si="5"/>
        <v>0</v>
      </c>
      <c r="AB43" s="214">
        <f t="shared" si="5"/>
        <v>0</v>
      </c>
    </row>
    <row r="44" spans="1:28">
      <c r="A44" s="230" t="s">
        <v>280</v>
      </c>
      <c r="B44" s="230"/>
      <c r="C44" s="230" t="s">
        <v>198</v>
      </c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22"/>
      <c r="S44" s="222"/>
      <c r="T44" s="231"/>
      <c r="U44" s="231"/>
      <c r="V44" s="221"/>
      <c r="W44" s="223">
        <v>19</v>
      </c>
      <c r="X44" s="223">
        <v>17</v>
      </c>
      <c r="Y44" s="223">
        <v>9.5</v>
      </c>
      <c r="Z44" s="214">
        <f t="shared" si="5"/>
        <v>48.26</v>
      </c>
      <c r="AA44" s="214">
        <f t="shared" si="5"/>
        <v>43.18</v>
      </c>
      <c r="AB44" s="214">
        <f t="shared" si="5"/>
        <v>24.13</v>
      </c>
    </row>
    <row r="45" spans="1:28">
      <c r="A45" s="230">
        <v>19</v>
      </c>
      <c r="B45" s="230">
        <v>19</v>
      </c>
      <c r="C45" s="230" t="s">
        <v>190</v>
      </c>
      <c r="D45" s="230" t="s">
        <v>228</v>
      </c>
      <c r="E45" s="230" t="s">
        <v>267</v>
      </c>
      <c r="F45" s="230" t="s">
        <v>268</v>
      </c>
      <c r="G45" s="230">
        <v>7</v>
      </c>
      <c r="H45" s="230"/>
      <c r="I45" s="230">
        <v>7</v>
      </c>
      <c r="J45" s="230"/>
      <c r="K45" s="230"/>
      <c r="L45" s="230"/>
      <c r="M45" s="230"/>
      <c r="N45" s="230"/>
      <c r="O45" s="230"/>
      <c r="P45" s="230">
        <v>1</v>
      </c>
      <c r="Q45" s="230">
        <v>7</v>
      </c>
      <c r="R45" s="222">
        <f t="shared" si="3"/>
        <v>0.76999999999999991</v>
      </c>
      <c r="S45" s="222">
        <f t="shared" si="4"/>
        <v>1.42</v>
      </c>
      <c r="T45" s="231">
        <v>0.76999999999999991</v>
      </c>
      <c r="U45" s="231">
        <v>1.42</v>
      </c>
      <c r="V45" s="221" t="str">
        <f t="shared" si="0"/>
        <v>40.64*22.86*11.43</v>
      </c>
      <c r="W45" s="223">
        <v>16</v>
      </c>
      <c r="X45" s="223">
        <v>9</v>
      </c>
      <c r="Y45" s="223">
        <v>4.5</v>
      </c>
      <c r="Z45" s="214">
        <f t="shared" si="5"/>
        <v>40.64</v>
      </c>
      <c r="AA45" s="214">
        <f t="shared" si="5"/>
        <v>22.86</v>
      </c>
      <c r="AB45" s="214">
        <f t="shared" si="5"/>
        <v>11.43</v>
      </c>
    </row>
    <row r="46" spans="1:28">
      <c r="A46" s="230">
        <v>20</v>
      </c>
      <c r="B46" s="230">
        <v>20</v>
      </c>
      <c r="C46" s="230" t="s">
        <v>190</v>
      </c>
      <c r="D46" s="230"/>
      <c r="E46" s="230"/>
      <c r="F46" s="230"/>
      <c r="G46" s="230">
        <v>8</v>
      </c>
      <c r="H46" s="230"/>
      <c r="I46" s="230"/>
      <c r="J46" s="230">
        <v>8</v>
      </c>
      <c r="K46" s="230"/>
      <c r="L46" s="230"/>
      <c r="M46" s="230"/>
      <c r="N46" s="230"/>
      <c r="O46" s="230"/>
      <c r="P46" s="230"/>
      <c r="Q46" s="230">
        <v>8</v>
      </c>
      <c r="R46" s="222"/>
      <c r="S46" s="222"/>
      <c r="T46" s="231"/>
      <c r="U46" s="231">
        <v>0</v>
      </c>
      <c r="V46" s="221" t="str">
        <f t="shared" si="0"/>
        <v>40.64*22.86*11.43</v>
      </c>
      <c r="W46" s="223">
        <v>16</v>
      </c>
      <c r="X46" s="223">
        <v>9</v>
      </c>
      <c r="Y46" s="223">
        <v>4.5</v>
      </c>
      <c r="Z46" s="214">
        <f t="shared" si="5"/>
        <v>40.64</v>
      </c>
      <c r="AA46" s="214">
        <f t="shared" si="5"/>
        <v>22.86</v>
      </c>
      <c r="AB46" s="214">
        <f t="shared" si="5"/>
        <v>11.43</v>
      </c>
    </row>
    <row r="47" spans="1:28">
      <c r="A47" s="230">
        <v>21</v>
      </c>
      <c r="B47" s="230">
        <v>21</v>
      </c>
      <c r="C47" s="230" t="s">
        <v>190</v>
      </c>
      <c r="D47" s="230"/>
      <c r="E47" s="230"/>
      <c r="F47" s="230"/>
      <c r="G47" s="230">
        <v>7</v>
      </c>
      <c r="H47" s="230"/>
      <c r="I47" s="230"/>
      <c r="J47" s="230"/>
      <c r="K47" s="230">
        <v>7</v>
      </c>
      <c r="L47" s="230"/>
      <c r="M47" s="230"/>
      <c r="N47" s="230"/>
      <c r="O47" s="230"/>
      <c r="P47" s="230"/>
      <c r="Q47" s="230">
        <v>7</v>
      </c>
      <c r="R47" s="222"/>
      <c r="S47" s="222"/>
      <c r="T47" s="231"/>
      <c r="U47" s="231">
        <v>0</v>
      </c>
      <c r="V47" s="221" t="str">
        <f t="shared" si="0"/>
        <v>40.64*22.86*11.43</v>
      </c>
      <c r="W47" s="223">
        <v>16</v>
      </c>
      <c r="X47" s="223">
        <v>9</v>
      </c>
      <c r="Y47" s="223">
        <v>4.5</v>
      </c>
      <c r="Z47" s="214">
        <f t="shared" si="5"/>
        <v>40.64</v>
      </c>
      <c r="AA47" s="214">
        <f t="shared" si="5"/>
        <v>22.86</v>
      </c>
      <c r="AB47" s="214">
        <f t="shared" si="5"/>
        <v>11.43</v>
      </c>
    </row>
    <row r="48" spans="1:28">
      <c r="A48" s="230">
        <v>22</v>
      </c>
      <c r="B48" s="230">
        <v>22</v>
      </c>
      <c r="C48" s="230" t="s">
        <v>190</v>
      </c>
      <c r="D48" s="230"/>
      <c r="E48" s="230"/>
      <c r="F48" s="230"/>
      <c r="G48" s="230">
        <v>2</v>
      </c>
      <c r="H48" s="230"/>
      <c r="I48" s="230"/>
      <c r="J48" s="230"/>
      <c r="K48" s="230"/>
      <c r="L48" s="230">
        <v>2</v>
      </c>
      <c r="M48" s="230"/>
      <c r="N48" s="230"/>
      <c r="O48" s="230"/>
      <c r="P48" s="230"/>
      <c r="Q48" s="230">
        <v>2</v>
      </c>
      <c r="R48" s="222"/>
      <c r="S48" s="222"/>
      <c r="T48" s="231"/>
      <c r="U48" s="231">
        <v>0</v>
      </c>
      <c r="V48" s="221" t="str">
        <f t="shared" si="0"/>
        <v>40.64*22.86*11.43</v>
      </c>
      <c r="W48" s="223">
        <v>16</v>
      </c>
      <c r="X48" s="223">
        <v>9</v>
      </c>
      <c r="Y48" s="223">
        <v>4.5</v>
      </c>
      <c r="Z48" s="214">
        <f t="shared" si="5"/>
        <v>40.64</v>
      </c>
      <c r="AA48" s="214">
        <f t="shared" si="5"/>
        <v>22.86</v>
      </c>
      <c r="AB48" s="214">
        <f t="shared" si="5"/>
        <v>11.43</v>
      </c>
    </row>
    <row r="49" spans="1:28">
      <c r="A49" s="230"/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22"/>
      <c r="S49" s="222"/>
      <c r="T49" s="231"/>
      <c r="U49" s="231"/>
      <c r="V49" s="221"/>
      <c r="W49" s="223"/>
      <c r="X49" s="223"/>
      <c r="Y49" s="223"/>
      <c r="Z49" s="214">
        <f t="shared" si="5"/>
        <v>0</v>
      </c>
      <c r="AA49" s="214">
        <f t="shared" si="5"/>
        <v>0</v>
      </c>
      <c r="AB49" s="214">
        <f t="shared" si="5"/>
        <v>0</v>
      </c>
    </row>
    <row r="50" spans="1:28">
      <c r="A50" s="230" t="s">
        <v>281</v>
      </c>
      <c r="B50" s="230"/>
      <c r="C50" s="230" t="s">
        <v>198</v>
      </c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22"/>
      <c r="S50" s="222"/>
      <c r="T50" s="231"/>
      <c r="U50" s="231"/>
      <c r="V50" s="221"/>
      <c r="W50" s="223">
        <v>19</v>
      </c>
      <c r="X50" s="223">
        <v>17</v>
      </c>
      <c r="Y50" s="223">
        <v>9.5</v>
      </c>
      <c r="Z50" s="214">
        <f t="shared" si="5"/>
        <v>48.26</v>
      </c>
      <c r="AA50" s="214">
        <f t="shared" si="5"/>
        <v>43.18</v>
      </c>
      <c r="AB50" s="214">
        <f t="shared" si="5"/>
        <v>24.13</v>
      </c>
    </row>
    <row r="51" spans="1:28">
      <c r="A51" s="230">
        <v>23</v>
      </c>
      <c r="B51" s="230">
        <v>23</v>
      </c>
      <c r="C51" s="230" t="s">
        <v>190</v>
      </c>
      <c r="D51" s="230" t="s">
        <v>228</v>
      </c>
      <c r="E51" s="230" t="s">
        <v>257</v>
      </c>
      <c r="F51" s="230" t="s">
        <v>258</v>
      </c>
      <c r="G51" s="230">
        <v>7</v>
      </c>
      <c r="H51" s="230"/>
      <c r="I51" s="230">
        <v>7</v>
      </c>
      <c r="J51" s="230"/>
      <c r="K51" s="230"/>
      <c r="L51" s="230"/>
      <c r="M51" s="230"/>
      <c r="N51" s="230"/>
      <c r="O51" s="230"/>
      <c r="P51" s="230">
        <v>1</v>
      </c>
      <c r="Q51" s="230">
        <v>7</v>
      </c>
      <c r="R51" s="222">
        <f t="shared" si="3"/>
        <v>0.76999999999999991</v>
      </c>
      <c r="S51" s="222">
        <f t="shared" si="4"/>
        <v>1.42</v>
      </c>
      <c r="T51" s="231">
        <v>0.76999999999999991</v>
      </c>
      <c r="U51" s="231">
        <v>1.42</v>
      </c>
      <c r="V51" s="221" t="str">
        <f t="shared" si="0"/>
        <v>40.64*22.86*11.43</v>
      </c>
      <c r="W51" s="223">
        <v>16</v>
      </c>
      <c r="X51" s="223">
        <v>9</v>
      </c>
      <c r="Y51" s="223">
        <v>4.5</v>
      </c>
      <c r="Z51" s="214">
        <f t="shared" si="5"/>
        <v>40.64</v>
      </c>
      <c r="AA51" s="214">
        <f t="shared" si="5"/>
        <v>22.86</v>
      </c>
      <c r="AB51" s="214">
        <f t="shared" si="5"/>
        <v>11.43</v>
      </c>
    </row>
    <row r="52" spans="1:28">
      <c r="A52" s="230">
        <v>24</v>
      </c>
      <c r="B52" s="230">
        <v>24</v>
      </c>
      <c r="C52" s="230" t="s">
        <v>190</v>
      </c>
      <c r="D52" s="230"/>
      <c r="E52" s="230"/>
      <c r="F52" s="230"/>
      <c r="G52" s="230">
        <v>8</v>
      </c>
      <c r="H52" s="230"/>
      <c r="I52" s="230"/>
      <c r="J52" s="230">
        <v>8</v>
      </c>
      <c r="K52" s="230"/>
      <c r="L52" s="230"/>
      <c r="M52" s="230"/>
      <c r="N52" s="230"/>
      <c r="O52" s="230"/>
      <c r="P52" s="230"/>
      <c r="Q52" s="230">
        <v>8</v>
      </c>
      <c r="R52" s="222"/>
      <c r="S52" s="222"/>
      <c r="T52" s="231"/>
      <c r="U52" s="231">
        <v>0</v>
      </c>
      <c r="V52" s="221" t="str">
        <f t="shared" si="0"/>
        <v>40.64*22.86*11.43</v>
      </c>
      <c r="W52" s="223">
        <v>16</v>
      </c>
      <c r="X52" s="223">
        <v>9</v>
      </c>
      <c r="Y52" s="223">
        <v>4.5</v>
      </c>
      <c r="Z52" s="214">
        <f t="shared" si="5"/>
        <v>40.64</v>
      </c>
      <c r="AA52" s="214">
        <f t="shared" si="5"/>
        <v>22.86</v>
      </c>
      <c r="AB52" s="214">
        <f t="shared" si="5"/>
        <v>11.43</v>
      </c>
    </row>
    <row r="53" spans="1:28">
      <c r="A53" s="230">
        <v>25</v>
      </c>
      <c r="B53" s="230">
        <v>25</v>
      </c>
      <c r="C53" s="230" t="s">
        <v>190</v>
      </c>
      <c r="D53" s="230"/>
      <c r="E53" s="230"/>
      <c r="F53" s="230"/>
      <c r="G53" s="230">
        <v>7</v>
      </c>
      <c r="H53" s="230"/>
      <c r="I53" s="230"/>
      <c r="J53" s="230"/>
      <c r="K53" s="230">
        <v>7</v>
      </c>
      <c r="L53" s="230"/>
      <c r="M53" s="230"/>
      <c r="N53" s="230"/>
      <c r="O53" s="230"/>
      <c r="P53" s="230"/>
      <c r="Q53" s="230">
        <v>7</v>
      </c>
      <c r="R53" s="222"/>
      <c r="S53" s="222"/>
      <c r="T53" s="231"/>
      <c r="U53" s="231">
        <v>0</v>
      </c>
      <c r="V53" s="221" t="str">
        <f t="shared" si="0"/>
        <v>40.64*22.86*11.43</v>
      </c>
      <c r="W53" s="223">
        <v>16</v>
      </c>
      <c r="X53" s="223">
        <v>9</v>
      </c>
      <c r="Y53" s="223">
        <v>4.5</v>
      </c>
      <c r="Z53" s="214">
        <f t="shared" si="5"/>
        <v>40.64</v>
      </c>
      <c r="AA53" s="214">
        <f t="shared" si="5"/>
        <v>22.86</v>
      </c>
      <c r="AB53" s="214">
        <f t="shared" si="5"/>
        <v>11.43</v>
      </c>
    </row>
    <row r="54" spans="1:28">
      <c r="A54" s="230">
        <v>26</v>
      </c>
      <c r="B54" s="230">
        <v>26</v>
      </c>
      <c r="C54" s="230" t="s">
        <v>190</v>
      </c>
      <c r="D54" s="230"/>
      <c r="E54" s="230"/>
      <c r="F54" s="230"/>
      <c r="G54" s="230">
        <v>2</v>
      </c>
      <c r="H54" s="230"/>
      <c r="I54" s="230"/>
      <c r="J54" s="230"/>
      <c r="K54" s="230"/>
      <c r="L54" s="230">
        <v>2</v>
      </c>
      <c r="M54" s="230"/>
      <c r="N54" s="230"/>
      <c r="O54" s="230"/>
      <c r="P54" s="230"/>
      <c r="Q54" s="230">
        <v>2</v>
      </c>
      <c r="R54" s="222"/>
      <c r="S54" s="222"/>
      <c r="T54" s="231"/>
      <c r="U54" s="231">
        <v>0</v>
      </c>
      <c r="V54" s="221" t="str">
        <f t="shared" si="0"/>
        <v>40.64*22.86*11.43</v>
      </c>
      <c r="W54" s="223">
        <v>16</v>
      </c>
      <c r="X54" s="223">
        <v>9</v>
      </c>
      <c r="Y54" s="223">
        <v>4.5</v>
      </c>
      <c r="Z54" s="214">
        <f t="shared" si="5"/>
        <v>40.64</v>
      </c>
      <c r="AA54" s="214">
        <f t="shared" si="5"/>
        <v>22.86</v>
      </c>
      <c r="AB54" s="214">
        <f t="shared" si="5"/>
        <v>11.43</v>
      </c>
    </row>
    <row r="55" spans="1:28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22"/>
      <c r="S55" s="222"/>
      <c r="T55" s="231"/>
      <c r="U55" s="231"/>
      <c r="V55" s="230"/>
    </row>
    <row r="56" spans="1:28" s="216" customFormat="1" ht="14.25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>
        <f>SUM(N20:N55)</f>
        <v>0</v>
      </c>
      <c r="O56" s="232">
        <f>SUM(O20:O55)</f>
        <v>0</v>
      </c>
      <c r="P56" s="232">
        <f>SUM(P20:P55)</f>
        <v>17</v>
      </c>
      <c r="Q56" s="232">
        <f>SUM(Q20:Q55)</f>
        <v>408</v>
      </c>
      <c r="R56" s="232"/>
      <c r="S56" s="305"/>
      <c r="T56" s="232">
        <f>SUM(T20:T55)</f>
        <v>38.470000000000013</v>
      </c>
      <c r="U56" s="305">
        <f>SUM(U20:U55)</f>
        <v>50.42</v>
      </c>
      <c r="V56" s="232"/>
    </row>
    <row r="57" spans="1:28" s="216" customFormat="1" ht="14.25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</row>
    <row r="58" spans="1:28">
      <c r="A58" s="223"/>
      <c r="B58" s="223"/>
      <c r="C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224"/>
      <c r="T58" s="224"/>
      <c r="U58" s="224"/>
      <c r="V58" s="215"/>
    </row>
    <row r="59" spans="1:28">
      <c r="C59" s="234" t="s">
        <v>191</v>
      </c>
      <c r="D59" s="234" t="s">
        <v>181</v>
      </c>
      <c r="E59" s="234" t="s">
        <v>192</v>
      </c>
      <c r="F59" s="234" t="s">
        <v>193</v>
      </c>
      <c r="G59" s="234" t="s">
        <v>59</v>
      </c>
      <c r="H59" s="234" t="s">
        <v>27</v>
      </c>
      <c r="I59" s="234" t="s">
        <v>28</v>
      </c>
      <c r="J59" s="234" t="s">
        <v>29</v>
      </c>
      <c r="K59" s="234" t="s">
        <v>30</v>
      </c>
      <c r="L59" s="234" t="s">
        <v>145</v>
      </c>
      <c r="M59" s="234"/>
      <c r="N59" s="234"/>
      <c r="O59" s="234"/>
      <c r="P59" s="219" t="s">
        <v>31</v>
      </c>
      <c r="Q59" s="219" t="s">
        <v>32</v>
      </c>
    </row>
    <row r="60" spans="1:28">
      <c r="C60" s="235" t="s">
        <v>217</v>
      </c>
      <c r="D60" s="235" t="s">
        <v>219</v>
      </c>
      <c r="E60" s="235" t="s">
        <v>220</v>
      </c>
      <c r="F60" s="235" t="s">
        <v>232</v>
      </c>
      <c r="G60" s="230">
        <v>2</v>
      </c>
      <c r="H60" s="230">
        <v>5</v>
      </c>
      <c r="I60" s="230">
        <v>7</v>
      </c>
      <c r="J60" s="230">
        <v>6</v>
      </c>
      <c r="K60" s="230">
        <v>4</v>
      </c>
      <c r="L60" s="230"/>
      <c r="M60" s="234"/>
      <c r="N60" s="234"/>
      <c r="O60" s="234"/>
      <c r="P60" s="235">
        <v>5</v>
      </c>
      <c r="Q60" s="235">
        <v>120</v>
      </c>
      <c r="W60" s="214">
        <f>+SUM(G60:K60)</f>
        <v>24</v>
      </c>
      <c r="X60" s="214">
        <f>+Q60-W60</f>
        <v>96</v>
      </c>
    </row>
    <row r="61" spans="1:28">
      <c r="C61" s="235" t="s">
        <v>217</v>
      </c>
      <c r="D61" s="235" t="s">
        <v>221</v>
      </c>
      <c r="E61" s="235" t="s">
        <v>220</v>
      </c>
      <c r="F61" s="235" t="s">
        <v>232</v>
      </c>
      <c r="G61" s="230">
        <v>2</v>
      </c>
      <c r="H61" s="230">
        <v>5</v>
      </c>
      <c r="I61" s="230">
        <v>7</v>
      </c>
      <c r="J61" s="230">
        <v>6</v>
      </c>
      <c r="K61" s="230">
        <v>4</v>
      </c>
      <c r="L61" s="230"/>
      <c r="M61" s="234"/>
      <c r="N61" s="234"/>
      <c r="O61" s="234"/>
      <c r="P61" s="235">
        <v>5</v>
      </c>
      <c r="Q61" s="235">
        <v>120</v>
      </c>
    </row>
    <row r="62" spans="1:28">
      <c r="C62" s="235" t="s">
        <v>217</v>
      </c>
      <c r="D62" s="235" t="s">
        <v>227</v>
      </c>
      <c r="E62" s="235" t="s">
        <v>220</v>
      </c>
      <c r="F62" s="235" t="s">
        <v>232</v>
      </c>
      <c r="G62" s="230">
        <v>2</v>
      </c>
      <c r="H62" s="230">
        <v>5</v>
      </c>
      <c r="I62" s="230">
        <v>7</v>
      </c>
      <c r="J62" s="230">
        <v>6</v>
      </c>
      <c r="K62" s="230">
        <v>4</v>
      </c>
      <c r="L62" s="230"/>
      <c r="M62" s="234"/>
      <c r="N62" s="234"/>
      <c r="O62" s="234"/>
      <c r="P62" s="235">
        <v>5</v>
      </c>
      <c r="Q62" s="235">
        <v>120</v>
      </c>
    </row>
    <row r="63" spans="1:28">
      <c r="C63" s="235" t="s">
        <v>217</v>
      </c>
      <c r="D63" s="235" t="s">
        <v>228</v>
      </c>
      <c r="E63" s="235" t="s">
        <v>229</v>
      </c>
      <c r="F63" s="235" t="s">
        <v>268</v>
      </c>
      <c r="G63" s="230">
        <v>2</v>
      </c>
      <c r="H63" s="230">
        <v>5</v>
      </c>
      <c r="I63" s="230">
        <v>7</v>
      </c>
      <c r="J63" s="230">
        <v>6</v>
      </c>
      <c r="K63" s="230">
        <v>4</v>
      </c>
      <c r="L63" s="230"/>
      <c r="M63" s="234"/>
      <c r="N63" s="234"/>
      <c r="O63" s="234"/>
      <c r="P63" s="235">
        <v>1</v>
      </c>
      <c r="Q63" s="235">
        <v>24</v>
      </c>
    </row>
    <row r="64" spans="1:28">
      <c r="C64" s="235" t="s">
        <v>217</v>
      </c>
      <c r="D64" s="235" t="s">
        <v>228</v>
      </c>
      <c r="E64" s="235" t="s">
        <v>223</v>
      </c>
      <c r="F64" s="235" t="s">
        <v>258</v>
      </c>
      <c r="G64" s="230">
        <v>2</v>
      </c>
      <c r="H64" s="230">
        <v>5</v>
      </c>
      <c r="I64" s="230">
        <v>7</v>
      </c>
      <c r="J64" s="230">
        <v>6</v>
      </c>
      <c r="K64" s="230">
        <v>4</v>
      </c>
      <c r="L64" s="230"/>
      <c r="M64" s="234"/>
      <c r="N64" s="234"/>
      <c r="O64" s="234"/>
      <c r="P64" s="235">
        <v>1</v>
      </c>
      <c r="Q64" s="235">
        <v>24</v>
      </c>
    </row>
    <row r="65" spans="3:17">
      <c r="C65" s="235"/>
      <c r="D65" s="235"/>
      <c r="E65" s="235"/>
      <c r="F65" s="235"/>
      <c r="G65" s="230"/>
      <c r="H65" s="230"/>
      <c r="I65" s="230"/>
      <c r="J65" s="230"/>
      <c r="K65" s="230"/>
      <c r="L65" s="234"/>
      <c r="M65" s="234"/>
      <c r="N65" s="234"/>
      <c r="O65" s="234"/>
      <c r="P65" s="235"/>
      <c r="Q65" s="235"/>
    </row>
    <row r="66" spans="3:17"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</row>
    <row r="67" spans="3:17">
      <c r="C67" s="215"/>
      <c r="D67" s="215"/>
      <c r="E67" s="215"/>
      <c r="F67" s="215"/>
      <c r="G67" s="215"/>
      <c r="H67" s="215"/>
      <c r="I67" s="215"/>
      <c r="J67" s="218" t="s">
        <v>33</v>
      </c>
      <c r="K67" s="215"/>
      <c r="L67" s="218"/>
      <c r="M67" s="218"/>
      <c r="N67" s="218"/>
      <c r="O67" s="218"/>
      <c r="P67" s="218">
        <f>SUM(P60:P65)</f>
        <v>17</v>
      </c>
      <c r="Q67" s="218">
        <f>SUM(Q60:Q65)</f>
        <v>408</v>
      </c>
    </row>
  </sheetData>
  <autoFilter ref="A18:V56" xr:uid="{151E6488-ABA6-4E06-80C9-0962DA883E62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98402777777777795" bottom="0.98402777777777795" header="0.51180555555555496" footer="0.51180555555555496"/>
  <pageSetup scale="54" fitToHeight="2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93F1-1B05-4950-AE84-B5AB1C976D59}">
  <sheetPr>
    <pageSetUpPr fitToPage="1"/>
  </sheetPr>
  <dimension ref="A1:CG67"/>
  <sheetViews>
    <sheetView view="pageBreakPreview" topLeftCell="A54" zoomScale="85" zoomScaleNormal="70" zoomScaleSheetLayoutView="85" workbookViewId="0">
      <selection activeCell="R71" sqref="R71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2.7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217</v>
      </c>
      <c r="G13" s="214" t="s">
        <v>176</v>
      </c>
    </row>
    <row r="14" spans="1:85">
      <c r="A14" s="291" t="s">
        <v>177</v>
      </c>
      <c r="B14" s="291"/>
      <c r="D14" s="214" t="str">
        <f>+B13</f>
        <v>WH96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/>
    </row>
    <row r="20" spans="1:28">
      <c r="A20" s="221">
        <v>1</v>
      </c>
      <c r="B20" s="221">
        <v>1</v>
      </c>
      <c r="C20" s="221"/>
      <c r="D20" s="221" t="s">
        <v>219</v>
      </c>
      <c r="E20" s="221" t="s">
        <v>231</v>
      </c>
      <c r="F20" s="221" t="s">
        <v>232</v>
      </c>
      <c r="G20" s="221">
        <v>36</v>
      </c>
      <c r="H20" s="221"/>
      <c r="I20" s="221"/>
      <c r="J20" s="221">
        <v>36</v>
      </c>
      <c r="K20" s="221"/>
      <c r="L20" s="221"/>
      <c r="M20" s="221"/>
      <c r="N20" s="221"/>
      <c r="O20" s="221"/>
      <c r="P20" s="221">
        <v>1</v>
      </c>
      <c r="Q20" s="221">
        <v>36</v>
      </c>
      <c r="R20" s="222">
        <f>+T20/P20</f>
        <v>3.23</v>
      </c>
      <c r="S20" s="222">
        <f>+U20/P20</f>
        <v>3.88</v>
      </c>
      <c r="T20" s="222">
        <v>3.23</v>
      </c>
      <c r="U20" s="222">
        <v>3.88</v>
      </c>
      <c r="V20" s="221" t="str">
        <f t="shared" ref="V20:V54" si="0">Z20&amp;"*"&amp;AA20&amp;"*"&amp;AB20</f>
        <v>40.64*38.1*11.43</v>
      </c>
      <c r="W20" s="223">
        <v>16</v>
      </c>
      <c r="X20" s="223">
        <v>15</v>
      </c>
      <c r="Y20" s="223">
        <v>4.5</v>
      </c>
      <c r="Z20" s="214">
        <f t="shared" ref="Z20:AB35" si="1">+W20*2.54</f>
        <v>40.64</v>
      </c>
      <c r="AA20" s="214">
        <f t="shared" si="1"/>
        <v>38.1</v>
      </c>
      <c r="AB20" s="214">
        <f t="shared" si="1"/>
        <v>11.43</v>
      </c>
    </row>
    <row r="21" spans="1:28">
      <c r="A21" s="221">
        <v>2</v>
      </c>
      <c r="B21" s="221">
        <v>2</v>
      </c>
      <c r="C21" s="221" t="s">
        <v>189</v>
      </c>
      <c r="D21" s="221"/>
      <c r="E21" s="221"/>
      <c r="F21" s="221"/>
      <c r="G21" s="221">
        <v>29</v>
      </c>
      <c r="H21" s="221"/>
      <c r="I21" s="221">
        <v>29</v>
      </c>
      <c r="J21" s="221"/>
      <c r="K21" s="221"/>
      <c r="L21" s="221"/>
      <c r="M21" s="221"/>
      <c r="N21" s="221"/>
      <c r="O21" s="221"/>
      <c r="P21" s="221">
        <v>1</v>
      </c>
      <c r="Q21" s="221">
        <v>29</v>
      </c>
      <c r="R21" s="222">
        <f t="shared" ref="R21:R51" si="2">+T21/P21</f>
        <v>2.2400000000000002</v>
      </c>
      <c r="S21" s="222">
        <f t="shared" ref="S21:S51" si="3">+U21/P21</f>
        <v>3.06</v>
      </c>
      <c r="T21" s="222">
        <v>2.2400000000000002</v>
      </c>
      <c r="U21" s="222">
        <v>3.06</v>
      </c>
      <c r="V21" s="221" t="str">
        <f t="shared" si="0"/>
        <v>40.64*39.37*10.16</v>
      </c>
      <c r="W21" s="223">
        <v>16</v>
      </c>
      <c r="X21" s="223">
        <v>15.5</v>
      </c>
      <c r="Y21" s="223">
        <v>4</v>
      </c>
      <c r="Z21" s="214">
        <f t="shared" si="1"/>
        <v>40.64</v>
      </c>
      <c r="AA21" s="214">
        <f t="shared" si="1"/>
        <v>39.369999999999997</v>
      </c>
      <c r="AB21" s="214">
        <f t="shared" si="1"/>
        <v>10.16</v>
      </c>
    </row>
    <row r="22" spans="1:28">
      <c r="A22" s="230">
        <v>3</v>
      </c>
      <c r="B22" s="230">
        <v>3</v>
      </c>
      <c r="C22" s="230" t="s">
        <v>189</v>
      </c>
      <c r="D22" s="230"/>
      <c r="E22" s="230"/>
      <c r="F22" s="230"/>
      <c r="G22" s="230">
        <v>29</v>
      </c>
      <c r="H22" s="230"/>
      <c r="I22" s="230"/>
      <c r="J22" s="230"/>
      <c r="K22" s="230">
        <v>29</v>
      </c>
      <c r="L22" s="230"/>
      <c r="M22" s="230"/>
      <c r="N22" s="230"/>
      <c r="O22" s="230"/>
      <c r="P22" s="221">
        <v>1</v>
      </c>
      <c r="Q22" s="230">
        <v>29</v>
      </c>
      <c r="R22" s="222">
        <f t="shared" si="2"/>
        <v>2.85</v>
      </c>
      <c r="S22" s="222">
        <f t="shared" si="3"/>
        <v>3.5</v>
      </c>
      <c r="T22" s="231">
        <v>2.85</v>
      </c>
      <c r="U22" s="231">
        <v>3.5</v>
      </c>
      <c r="V22" s="221" t="str">
        <f t="shared" si="0"/>
        <v>40.64*38.1*11.43</v>
      </c>
      <c r="W22" s="223">
        <v>16</v>
      </c>
      <c r="X22" s="223">
        <v>15</v>
      </c>
      <c r="Y22" s="223">
        <v>4.5</v>
      </c>
      <c r="Z22" s="214">
        <f t="shared" si="1"/>
        <v>40.64</v>
      </c>
      <c r="AA22" s="214">
        <f t="shared" si="1"/>
        <v>38.1</v>
      </c>
      <c r="AB22" s="214">
        <f t="shared" si="1"/>
        <v>11.43</v>
      </c>
    </row>
    <row r="23" spans="1:28">
      <c r="A23" s="230">
        <v>4</v>
      </c>
      <c r="B23" s="230">
        <v>4</v>
      </c>
      <c r="C23" s="230" t="s">
        <v>189</v>
      </c>
      <c r="D23" s="230"/>
      <c r="E23" s="230"/>
      <c r="F23" s="230"/>
      <c r="G23" s="230">
        <v>13</v>
      </c>
      <c r="H23" s="230"/>
      <c r="I23" s="230"/>
      <c r="J23" s="230"/>
      <c r="K23" s="230"/>
      <c r="L23" s="230">
        <v>13</v>
      </c>
      <c r="M23" s="230"/>
      <c r="N23" s="230"/>
      <c r="O23" s="230"/>
      <c r="P23" s="230">
        <v>1</v>
      </c>
      <c r="Q23" s="230">
        <v>13</v>
      </c>
      <c r="R23" s="222">
        <f t="shared" si="2"/>
        <v>1.22</v>
      </c>
      <c r="S23" s="222">
        <f t="shared" si="3"/>
        <v>1.7</v>
      </c>
      <c r="T23" s="231">
        <v>1.22</v>
      </c>
      <c r="U23" s="231">
        <v>1.7</v>
      </c>
      <c r="V23" s="221" t="str">
        <f t="shared" si="0"/>
        <v>40.64*22.86*8.89</v>
      </c>
      <c r="W23" s="223">
        <v>16</v>
      </c>
      <c r="X23" s="223">
        <v>9</v>
      </c>
      <c r="Y23" s="223">
        <v>3.5</v>
      </c>
      <c r="Z23" s="214">
        <f t="shared" si="1"/>
        <v>40.64</v>
      </c>
      <c r="AA23" s="214">
        <f t="shared" si="1"/>
        <v>22.86</v>
      </c>
      <c r="AB23" s="214">
        <f t="shared" si="1"/>
        <v>8.89</v>
      </c>
    </row>
    <row r="24" spans="1:28">
      <c r="A24" s="230" t="s">
        <v>278</v>
      </c>
      <c r="B24" s="230"/>
      <c r="C24" s="230" t="s">
        <v>198</v>
      </c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>
        <v>19</v>
      </c>
      <c r="X24" s="223">
        <v>11</v>
      </c>
      <c r="Y24" s="223">
        <v>4.5</v>
      </c>
      <c r="Z24" s="214">
        <f t="shared" si="1"/>
        <v>48.26</v>
      </c>
      <c r="AA24" s="214">
        <f t="shared" si="1"/>
        <v>27.94</v>
      </c>
      <c r="AB24" s="214">
        <f t="shared" si="1"/>
        <v>11.43</v>
      </c>
    </row>
    <row r="25" spans="1:28">
      <c r="A25" s="230">
        <v>5</v>
      </c>
      <c r="B25" s="230">
        <v>5</v>
      </c>
      <c r="C25" s="230" t="s">
        <v>190</v>
      </c>
      <c r="D25" s="230"/>
      <c r="E25" s="230"/>
      <c r="F25" s="230"/>
      <c r="G25" s="230">
        <v>5</v>
      </c>
      <c r="H25" s="230">
        <v>5</v>
      </c>
      <c r="I25" s="230"/>
      <c r="J25" s="230"/>
      <c r="K25" s="230"/>
      <c r="L25" s="230"/>
      <c r="M25" s="230"/>
      <c r="N25" s="230"/>
      <c r="O25" s="230"/>
      <c r="P25" s="230">
        <v>1</v>
      </c>
      <c r="Q25" s="230">
        <v>5</v>
      </c>
      <c r="R25" s="222">
        <f t="shared" si="2"/>
        <v>0.44</v>
      </c>
      <c r="S25" s="222">
        <f t="shared" si="3"/>
        <v>0.64</v>
      </c>
      <c r="T25" s="231">
        <v>0.44</v>
      </c>
      <c r="U25" s="231">
        <v>0.64</v>
      </c>
      <c r="V25" s="221" t="str">
        <f t="shared" si="0"/>
        <v>22.86*22.86*7.62</v>
      </c>
      <c r="W25" s="223">
        <v>9</v>
      </c>
      <c r="X25" s="223">
        <v>9</v>
      </c>
      <c r="Y25" s="223">
        <v>3</v>
      </c>
      <c r="Z25" s="214">
        <f t="shared" si="1"/>
        <v>22.86</v>
      </c>
      <c r="AA25" s="214">
        <f t="shared" si="1"/>
        <v>22.86</v>
      </c>
      <c r="AB25" s="214">
        <f t="shared" si="1"/>
        <v>7.62</v>
      </c>
    </row>
    <row r="26" spans="1:28">
      <c r="A26" s="230">
        <v>6</v>
      </c>
      <c r="B26" s="230">
        <v>6</v>
      </c>
      <c r="C26" s="230" t="s">
        <v>190</v>
      </c>
      <c r="D26" s="230"/>
      <c r="E26" s="230"/>
      <c r="F26" s="230"/>
      <c r="G26" s="230">
        <v>8</v>
      </c>
      <c r="H26" s="230"/>
      <c r="I26" s="230"/>
      <c r="J26" s="230"/>
      <c r="K26" s="230"/>
      <c r="L26" s="230"/>
      <c r="M26" s="230">
        <v>8</v>
      </c>
      <c r="N26" s="230"/>
      <c r="O26" s="230"/>
      <c r="P26" s="230">
        <v>1</v>
      </c>
      <c r="Q26" s="230">
        <v>8</v>
      </c>
      <c r="R26" s="222"/>
      <c r="S26" s="222"/>
      <c r="T26" s="231"/>
      <c r="U26" s="231">
        <v>0</v>
      </c>
      <c r="V26" s="221" t="str">
        <f t="shared" si="0"/>
        <v>22.86*22.86*7.62</v>
      </c>
      <c r="W26" s="223">
        <v>9</v>
      </c>
      <c r="X26" s="223">
        <v>9</v>
      </c>
      <c r="Y26" s="223">
        <v>3</v>
      </c>
      <c r="Z26" s="214">
        <f t="shared" si="1"/>
        <v>22.86</v>
      </c>
      <c r="AA26" s="214">
        <f t="shared" si="1"/>
        <v>22.86</v>
      </c>
      <c r="AB26" s="214">
        <f t="shared" si="1"/>
        <v>7.62</v>
      </c>
    </row>
    <row r="27" spans="1:28">
      <c r="A27" s="230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2"/>
      <c r="S27" s="222"/>
      <c r="T27" s="231"/>
      <c r="U27" s="231"/>
      <c r="V27" s="221"/>
      <c r="W27" s="223"/>
      <c r="X27" s="223"/>
      <c r="Y27" s="223"/>
      <c r="Z27" s="214">
        <f t="shared" si="1"/>
        <v>0</v>
      </c>
      <c r="AA27" s="214">
        <f t="shared" si="1"/>
        <v>0</v>
      </c>
      <c r="AB27" s="214">
        <f t="shared" si="1"/>
        <v>0</v>
      </c>
    </row>
    <row r="28" spans="1:28">
      <c r="A28" s="230">
        <v>7</v>
      </c>
      <c r="B28" s="230">
        <v>7</v>
      </c>
      <c r="C28" s="230" t="s">
        <v>189</v>
      </c>
      <c r="D28" s="230" t="s">
        <v>221</v>
      </c>
      <c r="E28" s="230" t="s">
        <v>231</v>
      </c>
      <c r="F28" s="230" t="s">
        <v>232</v>
      </c>
      <c r="G28" s="230">
        <v>30</v>
      </c>
      <c r="H28" s="230"/>
      <c r="I28" s="230">
        <v>30</v>
      </c>
      <c r="J28" s="230"/>
      <c r="K28" s="230"/>
      <c r="L28" s="230"/>
      <c r="M28" s="230"/>
      <c r="N28" s="230"/>
      <c r="O28" s="230"/>
      <c r="P28" s="230">
        <v>1</v>
      </c>
      <c r="Q28" s="230">
        <v>30</v>
      </c>
      <c r="R28" s="222">
        <f t="shared" si="2"/>
        <v>2.23</v>
      </c>
      <c r="S28" s="222">
        <f t="shared" si="3"/>
        <v>2.98</v>
      </c>
      <c r="T28" s="231">
        <v>2.23</v>
      </c>
      <c r="U28" s="231">
        <v>2.98</v>
      </c>
      <c r="V28" s="221" t="str">
        <f t="shared" si="0"/>
        <v>40.64*40.64*16.51</v>
      </c>
      <c r="W28" s="223">
        <v>16</v>
      </c>
      <c r="X28" s="223">
        <v>16</v>
      </c>
      <c r="Y28" s="223">
        <v>6.5</v>
      </c>
      <c r="Z28" s="214">
        <f t="shared" si="1"/>
        <v>40.64</v>
      </c>
      <c r="AA28" s="214">
        <f t="shared" si="1"/>
        <v>40.64</v>
      </c>
      <c r="AB28" s="214">
        <f t="shared" si="1"/>
        <v>16.510000000000002</v>
      </c>
    </row>
    <row r="29" spans="1:28">
      <c r="A29" s="230">
        <v>8</v>
      </c>
      <c r="B29" s="230">
        <v>8</v>
      </c>
      <c r="C29" s="230" t="s">
        <v>189</v>
      </c>
      <c r="D29" s="230"/>
      <c r="E29" s="230"/>
      <c r="F29" s="230"/>
      <c r="G29" s="230">
        <v>35</v>
      </c>
      <c r="H29" s="230"/>
      <c r="I29" s="230"/>
      <c r="J29" s="230">
        <v>35</v>
      </c>
      <c r="K29" s="230"/>
      <c r="L29" s="230"/>
      <c r="M29" s="230"/>
      <c r="N29" s="230"/>
      <c r="O29" s="230"/>
      <c r="P29" s="230">
        <v>1</v>
      </c>
      <c r="Q29" s="230">
        <v>35</v>
      </c>
      <c r="R29" s="222">
        <f t="shared" si="2"/>
        <v>2.79</v>
      </c>
      <c r="S29" s="222">
        <f t="shared" si="3"/>
        <v>3.56</v>
      </c>
      <c r="T29" s="231">
        <v>2.79</v>
      </c>
      <c r="U29" s="231">
        <v>3.56</v>
      </c>
      <c r="V29" s="221" t="str">
        <f t="shared" si="0"/>
        <v>40.64*38.1*19.05</v>
      </c>
      <c r="W29" s="223">
        <v>16</v>
      </c>
      <c r="X29" s="223">
        <v>15</v>
      </c>
      <c r="Y29" s="223">
        <v>7.5</v>
      </c>
      <c r="Z29" s="214">
        <f t="shared" si="1"/>
        <v>40.64</v>
      </c>
      <c r="AA29" s="214">
        <f t="shared" si="1"/>
        <v>38.1</v>
      </c>
      <c r="AB29" s="214">
        <f t="shared" si="1"/>
        <v>19.05</v>
      </c>
    </row>
    <row r="30" spans="1:28">
      <c r="A30" s="230">
        <v>9</v>
      </c>
      <c r="B30" s="230">
        <v>9</v>
      </c>
      <c r="C30" s="230" t="s">
        <v>189</v>
      </c>
      <c r="D30" s="230"/>
      <c r="E30" s="230"/>
      <c r="F30" s="230"/>
      <c r="G30" s="230">
        <v>29</v>
      </c>
      <c r="H30" s="230"/>
      <c r="I30" s="230"/>
      <c r="J30" s="230"/>
      <c r="K30" s="230">
        <v>29</v>
      </c>
      <c r="L30" s="230"/>
      <c r="M30" s="230"/>
      <c r="N30" s="230"/>
      <c r="O30" s="230"/>
      <c r="P30" s="230">
        <v>1</v>
      </c>
      <c r="Q30" s="230">
        <v>29</v>
      </c>
      <c r="R30" s="222">
        <f t="shared" si="2"/>
        <v>2.61</v>
      </c>
      <c r="S30" s="222">
        <f t="shared" si="3"/>
        <v>3.36</v>
      </c>
      <c r="T30" s="231">
        <v>2.61</v>
      </c>
      <c r="U30" s="231">
        <v>3.36</v>
      </c>
      <c r="V30" s="221" t="str">
        <f t="shared" si="0"/>
        <v>40.64*40.64*16.51</v>
      </c>
      <c r="W30" s="223">
        <v>16</v>
      </c>
      <c r="X30" s="223">
        <v>16</v>
      </c>
      <c r="Y30" s="223">
        <v>6.5</v>
      </c>
      <c r="Z30" s="214">
        <f t="shared" si="1"/>
        <v>40.64</v>
      </c>
      <c r="AA30" s="214">
        <f t="shared" si="1"/>
        <v>40.64</v>
      </c>
      <c r="AB30" s="214">
        <f t="shared" si="1"/>
        <v>16.510000000000002</v>
      </c>
    </row>
    <row r="31" spans="1:28">
      <c r="A31" s="230">
        <v>10</v>
      </c>
      <c r="B31" s="230">
        <v>10</v>
      </c>
      <c r="C31" s="230" t="s">
        <v>189</v>
      </c>
      <c r="D31" s="230"/>
      <c r="E31" s="230"/>
      <c r="F31" s="230"/>
      <c r="G31" s="230">
        <v>13</v>
      </c>
      <c r="H31" s="230"/>
      <c r="I31" s="230"/>
      <c r="J31" s="230"/>
      <c r="K31" s="230"/>
      <c r="L31" s="230">
        <v>13</v>
      </c>
      <c r="M31" s="230"/>
      <c r="N31" s="230"/>
      <c r="O31" s="230"/>
      <c r="P31" s="230">
        <v>1</v>
      </c>
      <c r="Q31" s="230">
        <v>13</v>
      </c>
      <c r="R31" s="222">
        <f t="shared" si="2"/>
        <v>1.48</v>
      </c>
      <c r="S31" s="222">
        <f t="shared" si="3"/>
        <v>2.06</v>
      </c>
      <c r="T31" s="231">
        <v>1.48</v>
      </c>
      <c r="U31" s="231">
        <v>2.06</v>
      </c>
      <c r="V31" s="221" t="str">
        <f t="shared" si="0"/>
        <v>40.64*39.37*7.62</v>
      </c>
      <c r="W31" s="223">
        <v>16</v>
      </c>
      <c r="X31" s="223">
        <v>15.5</v>
      </c>
      <c r="Y31" s="223">
        <v>3</v>
      </c>
      <c r="Z31" s="214">
        <f t="shared" si="1"/>
        <v>40.64</v>
      </c>
      <c r="AA31" s="214">
        <f t="shared" si="1"/>
        <v>39.369999999999997</v>
      </c>
      <c r="AB31" s="214">
        <f t="shared" si="1"/>
        <v>7.62</v>
      </c>
    </row>
    <row r="32" spans="1:28">
      <c r="A32" s="230" t="s">
        <v>199</v>
      </c>
      <c r="B32" s="230"/>
      <c r="C32" s="230" t="s">
        <v>198</v>
      </c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22"/>
      <c r="S32" s="222"/>
      <c r="T32" s="231"/>
      <c r="U32" s="231"/>
      <c r="V32" s="221"/>
      <c r="W32" s="223">
        <v>19</v>
      </c>
      <c r="X32" s="223">
        <v>17</v>
      </c>
      <c r="Y32" s="223">
        <v>4</v>
      </c>
      <c r="Z32" s="214">
        <f t="shared" si="1"/>
        <v>48.26</v>
      </c>
      <c r="AA32" s="214">
        <f t="shared" si="1"/>
        <v>43.18</v>
      </c>
      <c r="AB32" s="214">
        <f t="shared" si="1"/>
        <v>10.16</v>
      </c>
    </row>
    <row r="33" spans="1:28">
      <c r="A33" s="230">
        <v>11</v>
      </c>
      <c r="B33" s="230">
        <v>11</v>
      </c>
      <c r="C33" s="230" t="s">
        <v>190</v>
      </c>
      <c r="D33" s="230"/>
      <c r="E33" s="230"/>
      <c r="F33" s="230"/>
      <c r="G33" s="230">
        <v>5</v>
      </c>
      <c r="H33" s="230">
        <v>5</v>
      </c>
      <c r="I33" s="230"/>
      <c r="J33" s="230"/>
      <c r="K33" s="230"/>
      <c r="L33" s="230"/>
      <c r="M33" s="230"/>
      <c r="N33" s="230"/>
      <c r="O33" s="230"/>
      <c r="P33" s="230">
        <v>1</v>
      </c>
      <c r="Q33" s="230">
        <v>5</v>
      </c>
      <c r="R33" s="222">
        <f t="shared" si="2"/>
        <v>0.38000000000000006</v>
      </c>
      <c r="S33" s="222">
        <f t="shared" si="3"/>
        <v>0.68</v>
      </c>
      <c r="T33" s="231">
        <v>0.38000000000000006</v>
      </c>
      <c r="U33" s="231">
        <v>0.68</v>
      </c>
      <c r="V33" s="221" t="str">
        <f t="shared" si="0"/>
        <v>40.64*22.86*7.62</v>
      </c>
      <c r="W33" s="223">
        <v>16</v>
      </c>
      <c r="X33" s="223">
        <v>9</v>
      </c>
      <c r="Y33" s="223">
        <v>3</v>
      </c>
      <c r="Z33" s="214">
        <f t="shared" si="1"/>
        <v>40.64</v>
      </c>
      <c r="AA33" s="214">
        <f t="shared" si="1"/>
        <v>22.86</v>
      </c>
      <c r="AB33" s="214">
        <f t="shared" si="1"/>
        <v>7.62</v>
      </c>
    </row>
    <row r="34" spans="1:28">
      <c r="A34" s="230">
        <v>12</v>
      </c>
      <c r="B34" s="230">
        <v>12</v>
      </c>
      <c r="C34" s="230" t="s">
        <v>190</v>
      </c>
      <c r="D34" s="230"/>
      <c r="E34" s="230"/>
      <c r="F34" s="230"/>
      <c r="G34" s="230">
        <v>8</v>
      </c>
      <c r="H34" s="230"/>
      <c r="I34" s="230"/>
      <c r="J34" s="230"/>
      <c r="K34" s="230"/>
      <c r="L34" s="230"/>
      <c r="M34" s="230">
        <v>8</v>
      </c>
      <c r="N34" s="230"/>
      <c r="O34" s="230"/>
      <c r="P34" s="230">
        <v>1</v>
      </c>
      <c r="Q34" s="230">
        <v>8</v>
      </c>
      <c r="R34" s="222"/>
      <c r="S34" s="222"/>
      <c r="T34" s="231"/>
      <c r="U34" s="231">
        <v>1.2</v>
      </c>
      <c r="V34" s="221" t="str">
        <f t="shared" si="0"/>
        <v>40.64*22.86*7.62</v>
      </c>
      <c r="W34" s="223">
        <v>16</v>
      </c>
      <c r="X34" s="223">
        <v>9</v>
      </c>
      <c r="Y34" s="223">
        <v>3</v>
      </c>
      <c r="Z34" s="214">
        <f t="shared" si="1"/>
        <v>40.64</v>
      </c>
      <c r="AA34" s="214">
        <f t="shared" si="1"/>
        <v>22.86</v>
      </c>
      <c r="AB34" s="214">
        <f t="shared" si="1"/>
        <v>7.62</v>
      </c>
    </row>
    <row r="35" spans="1:28">
      <c r="A35" s="230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22"/>
      <c r="S35" s="222"/>
      <c r="T35" s="231"/>
      <c r="U35" s="231"/>
      <c r="V35" s="221"/>
      <c r="W35" s="223"/>
      <c r="X35" s="223"/>
      <c r="Y35" s="223"/>
      <c r="Z35" s="214">
        <f t="shared" si="1"/>
        <v>0</v>
      </c>
      <c r="AA35" s="214">
        <f t="shared" si="1"/>
        <v>0</v>
      </c>
      <c r="AB35" s="214">
        <f t="shared" si="1"/>
        <v>0</v>
      </c>
    </row>
    <row r="36" spans="1:28">
      <c r="A36" s="230">
        <v>13</v>
      </c>
      <c r="B36" s="230">
        <v>13</v>
      </c>
      <c r="C36" s="230"/>
      <c r="D36" s="230" t="s">
        <v>227</v>
      </c>
      <c r="E36" s="230" t="s">
        <v>231</v>
      </c>
      <c r="F36" s="230" t="s">
        <v>232</v>
      </c>
      <c r="G36" s="230">
        <v>36</v>
      </c>
      <c r="H36" s="230"/>
      <c r="I36" s="230"/>
      <c r="J36" s="230">
        <v>36</v>
      </c>
      <c r="K36" s="230"/>
      <c r="L36" s="230"/>
      <c r="M36" s="230"/>
      <c r="N36" s="230"/>
      <c r="O36" s="230"/>
      <c r="P36" s="230">
        <v>1</v>
      </c>
      <c r="Q36" s="230">
        <v>36</v>
      </c>
      <c r="R36" s="222">
        <f t="shared" si="2"/>
        <v>5.64</v>
      </c>
      <c r="S36" s="222">
        <f t="shared" si="3"/>
        <v>6.5</v>
      </c>
      <c r="T36" s="231">
        <v>5.64</v>
      </c>
      <c r="U36" s="231">
        <v>6.5</v>
      </c>
      <c r="V36" s="221" t="str">
        <f t="shared" si="0"/>
        <v>50.8*43.18*13.97</v>
      </c>
      <c r="W36" s="223">
        <v>20</v>
      </c>
      <c r="X36" s="223">
        <v>17</v>
      </c>
      <c r="Y36" s="223">
        <v>5.5</v>
      </c>
      <c r="Z36" s="214">
        <f t="shared" ref="Z36:AB54" si="4">+W36*2.54</f>
        <v>50.8</v>
      </c>
      <c r="AA36" s="214">
        <f t="shared" si="4"/>
        <v>43.18</v>
      </c>
      <c r="AB36" s="214">
        <f t="shared" si="4"/>
        <v>13.97</v>
      </c>
    </row>
    <row r="37" spans="1:28">
      <c r="A37" s="230">
        <v>14</v>
      </c>
      <c r="B37" s="230">
        <v>14</v>
      </c>
      <c r="C37" s="230" t="s">
        <v>189</v>
      </c>
      <c r="D37" s="230"/>
      <c r="E37" s="230"/>
      <c r="F37" s="230"/>
      <c r="G37" s="230">
        <v>29</v>
      </c>
      <c r="H37" s="230"/>
      <c r="I37" s="230">
        <v>29</v>
      </c>
      <c r="J37" s="230"/>
      <c r="K37" s="230"/>
      <c r="L37" s="230"/>
      <c r="M37" s="230"/>
      <c r="N37" s="230"/>
      <c r="O37" s="230"/>
      <c r="P37" s="230">
        <v>1</v>
      </c>
      <c r="Q37" s="230">
        <v>29</v>
      </c>
      <c r="R37" s="222">
        <f t="shared" si="2"/>
        <v>4.1400000000000006</v>
      </c>
      <c r="S37" s="222">
        <f t="shared" si="3"/>
        <v>4.9400000000000004</v>
      </c>
      <c r="T37" s="231">
        <v>4.1400000000000006</v>
      </c>
      <c r="U37" s="231">
        <v>4.9400000000000004</v>
      </c>
      <c r="V37" s="221" t="str">
        <f t="shared" si="0"/>
        <v>50.8*43.18*12.7</v>
      </c>
      <c r="W37" s="223">
        <v>20</v>
      </c>
      <c r="X37" s="223">
        <v>17</v>
      </c>
      <c r="Y37" s="223">
        <v>5</v>
      </c>
      <c r="Z37" s="214">
        <f t="shared" si="4"/>
        <v>50.8</v>
      </c>
      <c r="AA37" s="214">
        <f t="shared" si="4"/>
        <v>43.18</v>
      </c>
      <c r="AB37" s="214">
        <f t="shared" si="4"/>
        <v>12.7</v>
      </c>
    </row>
    <row r="38" spans="1:28">
      <c r="A38" s="230">
        <v>15</v>
      </c>
      <c r="B38" s="230">
        <v>15</v>
      </c>
      <c r="C38" s="230" t="s">
        <v>189</v>
      </c>
      <c r="D38" s="230"/>
      <c r="E38" s="230"/>
      <c r="F38" s="230"/>
      <c r="G38" s="230">
        <v>30</v>
      </c>
      <c r="H38" s="230"/>
      <c r="I38" s="230"/>
      <c r="J38" s="230"/>
      <c r="K38" s="230">
        <v>30</v>
      </c>
      <c r="L38" s="230"/>
      <c r="M38" s="230"/>
      <c r="N38" s="230"/>
      <c r="O38" s="230"/>
      <c r="P38" s="230">
        <v>1</v>
      </c>
      <c r="Q38" s="230">
        <v>30</v>
      </c>
      <c r="R38" s="222">
        <f t="shared" si="2"/>
        <v>5.0599999999999996</v>
      </c>
      <c r="S38" s="222">
        <f t="shared" si="3"/>
        <v>5.92</v>
      </c>
      <c r="T38" s="231">
        <v>5.0599999999999996</v>
      </c>
      <c r="U38" s="231">
        <v>5.92</v>
      </c>
      <c r="V38" s="221" t="str">
        <f t="shared" si="0"/>
        <v>50.8*43.18*13.97</v>
      </c>
      <c r="W38" s="223">
        <v>20</v>
      </c>
      <c r="X38" s="223">
        <v>17</v>
      </c>
      <c r="Y38" s="223">
        <v>5.5</v>
      </c>
      <c r="Z38" s="214">
        <f t="shared" si="4"/>
        <v>50.8</v>
      </c>
      <c r="AA38" s="214">
        <f t="shared" si="4"/>
        <v>43.18</v>
      </c>
      <c r="AB38" s="214">
        <f t="shared" si="4"/>
        <v>13.97</v>
      </c>
    </row>
    <row r="39" spans="1:28">
      <c r="A39" s="230">
        <v>16</v>
      </c>
      <c r="B39" s="230">
        <v>16</v>
      </c>
      <c r="C39" s="230" t="s">
        <v>189</v>
      </c>
      <c r="D39" s="230"/>
      <c r="E39" s="230"/>
      <c r="F39" s="230"/>
      <c r="G39" s="230">
        <v>13</v>
      </c>
      <c r="H39" s="230"/>
      <c r="I39" s="230"/>
      <c r="J39" s="230"/>
      <c r="K39" s="230"/>
      <c r="L39" s="230">
        <v>13</v>
      </c>
      <c r="M39" s="230"/>
      <c r="N39" s="230"/>
      <c r="O39" s="230"/>
      <c r="P39" s="230">
        <v>1</v>
      </c>
      <c r="Q39" s="230">
        <v>13</v>
      </c>
      <c r="R39" s="222">
        <f t="shared" si="2"/>
        <v>2.0999999999999996</v>
      </c>
      <c r="S39" s="222">
        <f t="shared" si="3"/>
        <v>2.78</v>
      </c>
      <c r="T39" s="231">
        <v>2.0999999999999996</v>
      </c>
      <c r="U39" s="231">
        <v>2.78</v>
      </c>
      <c r="V39" s="221" t="str">
        <f t="shared" si="0"/>
        <v>43.18*25.4*11.43</v>
      </c>
      <c r="W39" s="223">
        <v>17</v>
      </c>
      <c r="X39" s="223">
        <v>10</v>
      </c>
      <c r="Y39" s="223">
        <v>4.5</v>
      </c>
      <c r="Z39" s="214">
        <f t="shared" si="4"/>
        <v>43.18</v>
      </c>
      <c r="AA39" s="214">
        <f t="shared" si="4"/>
        <v>25.4</v>
      </c>
      <c r="AB39" s="214">
        <f t="shared" si="4"/>
        <v>11.43</v>
      </c>
    </row>
    <row r="40" spans="1:28">
      <c r="A40" s="230" t="s">
        <v>279</v>
      </c>
      <c r="B40" s="230"/>
      <c r="C40" s="230" t="s">
        <v>198</v>
      </c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22"/>
      <c r="S40" s="222"/>
      <c r="T40" s="231"/>
      <c r="U40" s="231"/>
      <c r="V40" s="221"/>
      <c r="W40" s="223">
        <v>19</v>
      </c>
      <c r="X40" s="223">
        <v>11</v>
      </c>
      <c r="Y40" s="223">
        <v>8.5</v>
      </c>
      <c r="Z40" s="214">
        <f t="shared" si="4"/>
        <v>48.26</v>
      </c>
      <c r="AA40" s="214">
        <f t="shared" si="4"/>
        <v>27.94</v>
      </c>
      <c r="AB40" s="214">
        <f t="shared" si="4"/>
        <v>21.59</v>
      </c>
    </row>
    <row r="41" spans="1:28">
      <c r="A41" s="230">
        <v>17</v>
      </c>
      <c r="B41" s="230">
        <v>17</v>
      </c>
      <c r="C41" s="230" t="s">
        <v>190</v>
      </c>
      <c r="D41" s="230"/>
      <c r="E41" s="230"/>
      <c r="F41" s="230"/>
      <c r="G41" s="230">
        <v>4</v>
      </c>
      <c r="H41" s="230">
        <v>4</v>
      </c>
      <c r="I41" s="230"/>
      <c r="J41" s="230"/>
      <c r="K41" s="230"/>
      <c r="L41" s="230"/>
      <c r="M41" s="230"/>
      <c r="N41" s="230"/>
      <c r="O41" s="230"/>
      <c r="P41" s="230">
        <v>1</v>
      </c>
      <c r="Q41" s="230">
        <v>4</v>
      </c>
      <c r="R41" s="222">
        <f t="shared" si="2"/>
        <v>0.52</v>
      </c>
      <c r="S41" s="222">
        <f t="shared" si="3"/>
        <v>0.82</v>
      </c>
      <c r="T41" s="231">
        <v>0.52</v>
      </c>
      <c r="U41" s="231">
        <v>0.82</v>
      </c>
      <c r="V41" s="221" t="str">
        <f t="shared" si="0"/>
        <v>25.4*22.86*8.89</v>
      </c>
      <c r="W41" s="223">
        <v>10</v>
      </c>
      <c r="X41" s="223">
        <v>9</v>
      </c>
      <c r="Y41" s="223">
        <v>3.5</v>
      </c>
      <c r="Z41" s="214">
        <f t="shared" si="4"/>
        <v>25.4</v>
      </c>
      <c r="AA41" s="214">
        <f t="shared" si="4"/>
        <v>22.86</v>
      </c>
      <c r="AB41" s="214">
        <f t="shared" si="4"/>
        <v>8.89</v>
      </c>
    </row>
    <row r="42" spans="1:28">
      <c r="A42" s="230">
        <v>18</v>
      </c>
      <c r="B42" s="230">
        <v>18</v>
      </c>
      <c r="C42" s="230" t="s">
        <v>190</v>
      </c>
      <c r="D42" s="230"/>
      <c r="E42" s="230"/>
      <c r="F42" s="230"/>
      <c r="G42" s="230">
        <v>8</v>
      </c>
      <c r="H42" s="230"/>
      <c r="I42" s="230"/>
      <c r="J42" s="230"/>
      <c r="K42" s="230"/>
      <c r="L42" s="230"/>
      <c r="M42" s="230">
        <v>8</v>
      </c>
      <c r="N42" s="230"/>
      <c r="O42" s="230"/>
      <c r="P42" s="230">
        <v>1</v>
      </c>
      <c r="Q42" s="230">
        <v>8</v>
      </c>
      <c r="R42" s="222"/>
      <c r="S42" s="222"/>
      <c r="T42" s="231"/>
      <c r="U42" s="231">
        <v>0</v>
      </c>
      <c r="V42" s="221" t="str">
        <f t="shared" si="0"/>
        <v>44.45*25.4*7.62</v>
      </c>
      <c r="W42" s="223">
        <v>17.5</v>
      </c>
      <c r="X42" s="223">
        <v>10</v>
      </c>
      <c r="Y42" s="223">
        <v>3</v>
      </c>
      <c r="Z42" s="214">
        <f t="shared" si="4"/>
        <v>44.45</v>
      </c>
      <c r="AA42" s="214">
        <f t="shared" si="4"/>
        <v>25.4</v>
      </c>
      <c r="AB42" s="214">
        <f t="shared" si="4"/>
        <v>7.62</v>
      </c>
    </row>
    <row r="43" spans="1:28">
      <c r="A43" s="230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22"/>
      <c r="S43" s="222"/>
      <c r="T43" s="231"/>
      <c r="U43" s="231"/>
      <c r="V43" s="221"/>
      <c r="W43" s="223"/>
      <c r="X43" s="223"/>
      <c r="Y43" s="223"/>
      <c r="Z43" s="214">
        <f t="shared" si="4"/>
        <v>0</v>
      </c>
      <c r="AA43" s="214">
        <f t="shared" si="4"/>
        <v>0</v>
      </c>
      <c r="AB43" s="214">
        <f t="shared" si="4"/>
        <v>0</v>
      </c>
    </row>
    <row r="44" spans="1:28">
      <c r="A44" s="230" t="s">
        <v>280</v>
      </c>
      <c r="B44" s="230"/>
      <c r="C44" s="230" t="s">
        <v>198</v>
      </c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22"/>
      <c r="S44" s="222"/>
      <c r="T44" s="231"/>
      <c r="U44" s="231"/>
      <c r="V44" s="221"/>
      <c r="W44" s="223">
        <v>19</v>
      </c>
      <c r="X44" s="223">
        <v>17</v>
      </c>
      <c r="Y44" s="223">
        <v>9.5</v>
      </c>
      <c r="Z44" s="214">
        <f t="shared" si="4"/>
        <v>48.26</v>
      </c>
      <c r="AA44" s="214">
        <f t="shared" si="4"/>
        <v>43.18</v>
      </c>
      <c r="AB44" s="214">
        <f t="shared" si="4"/>
        <v>24.13</v>
      </c>
    </row>
    <row r="45" spans="1:28">
      <c r="A45" s="230">
        <v>19</v>
      </c>
      <c r="B45" s="230">
        <v>19</v>
      </c>
      <c r="C45" s="230" t="s">
        <v>190</v>
      </c>
      <c r="D45" s="230" t="s">
        <v>228</v>
      </c>
      <c r="E45" s="230" t="s">
        <v>267</v>
      </c>
      <c r="F45" s="230" t="s">
        <v>268</v>
      </c>
      <c r="G45" s="230">
        <v>7</v>
      </c>
      <c r="H45" s="230"/>
      <c r="I45" s="230">
        <v>7</v>
      </c>
      <c r="J45" s="230"/>
      <c r="K45" s="230"/>
      <c r="L45" s="230"/>
      <c r="M45" s="230"/>
      <c r="N45" s="230"/>
      <c r="O45" s="230"/>
      <c r="P45" s="230">
        <v>1</v>
      </c>
      <c r="Q45" s="230">
        <v>7</v>
      </c>
      <c r="R45" s="222">
        <f t="shared" si="2"/>
        <v>0.76999999999999991</v>
      </c>
      <c r="S45" s="222">
        <f t="shared" si="3"/>
        <v>1.42</v>
      </c>
      <c r="T45" s="231">
        <v>0.76999999999999991</v>
      </c>
      <c r="U45" s="231">
        <v>1.42</v>
      </c>
      <c r="V45" s="221" t="str">
        <f t="shared" si="0"/>
        <v>40.64*22.86*11.43</v>
      </c>
      <c r="W45" s="223">
        <v>16</v>
      </c>
      <c r="X45" s="223">
        <v>9</v>
      </c>
      <c r="Y45" s="223">
        <v>4.5</v>
      </c>
      <c r="Z45" s="214">
        <f t="shared" si="4"/>
        <v>40.64</v>
      </c>
      <c r="AA45" s="214">
        <f t="shared" si="4"/>
        <v>22.86</v>
      </c>
      <c r="AB45" s="214">
        <f t="shared" si="4"/>
        <v>11.43</v>
      </c>
    </row>
    <row r="46" spans="1:28">
      <c r="A46" s="230">
        <v>20</v>
      </c>
      <c r="B46" s="230">
        <v>20</v>
      </c>
      <c r="C46" s="230" t="s">
        <v>190</v>
      </c>
      <c r="D46" s="230"/>
      <c r="E46" s="230"/>
      <c r="F46" s="230"/>
      <c r="G46" s="230">
        <v>8</v>
      </c>
      <c r="H46" s="230"/>
      <c r="I46" s="230"/>
      <c r="J46" s="230">
        <v>8</v>
      </c>
      <c r="K46" s="230"/>
      <c r="L46" s="230"/>
      <c r="M46" s="230"/>
      <c r="N46" s="230"/>
      <c r="O46" s="230"/>
      <c r="P46" s="230">
        <v>1</v>
      </c>
      <c r="Q46" s="230">
        <v>8</v>
      </c>
      <c r="R46" s="222"/>
      <c r="S46" s="222"/>
      <c r="T46" s="231"/>
      <c r="U46" s="231">
        <v>0</v>
      </c>
      <c r="V46" s="221" t="str">
        <f t="shared" si="0"/>
        <v>40.64*22.86*11.43</v>
      </c>
      <c r="W46" s="223">
        <v>16</v>
      </c>
      <c r="X46" s="223">
        <v>9</v>
      </c>
      <c r="Y46" s="223">
        <v>4.5</v>
      </c>
      <c r="Z46" s="214">
        <f t="shared" si="4"/>
        <v>40.64</v>
      </c>
      <c r="AA46" s="214">
        <f t="shared" si="4"/>
        <v>22.86</v>
      </c>
      <c r="AB46" s="214">
        <f t="shared" si="4"/>
        <v>11.43</v>
      </c>
    </row>
    <row r="47" spans="1:28">
      <c r="A47" s="230">
        <v>21</v>
      </c>
      <c r="B47" s="230">
        <v>21</v>
      </c>
      <c r="C47" s="230" t="s">
        <v>190</v>
      </c>
      <c r="D47" s="230"/>
      <c r="E47" s="230"/>
      <c r="F47" s="230"/>
      <c r="G47" s="230">
        <v>7</v>
      </c>
      <c r="H47" s="230"/>
      <c r="I47" s="230"/>
      <c r="J47" s="230"/>
      <c r="K47" s="230">
        <v>7</v>
      </c>
      <c r="L47" s="230"/>
      <c r="M47" s="230"/>
      <c r="N47" s="230"/>
      <c r="O47" s="230"/>
      <c r="P47" s="230">
        <v>1</v>
      </c>
      <c r="Q47" s="230">
        <v>7</v>
      </c>
      <c r="R47" s="222"/>
      <c r="S47" s="222"/>
      <c r="T47" s="231"/>
      <c r="U47" s="231">
        <v>0</v>
      </c>
      <c r="V47" s="221" t="str">
        <f t="shared" si="0"/>
        <v>40.64*22.86*11.43</v>
      </c>
      <c r="W47" s="223">
        <v>16</v>
      </c>
      <c r="X47" s="223">
        <v>9</v>
      </c>
      <c r="Y47" s="223">
        <v>4.5</v>
      </c>
      <c r="Z47" s="214">
        <f t="shared" si="4"/>
        <v>40.64</v>
      </c>
      <c r="AA47" s="214">
        <f t="shared" si="4"/>
        <v>22.86</v>
      </c>
      <c r="AB47" s="214">
        <f t="shared" si="4"/>
        <v>11.43</v>
      </c>
    </row>
    <row r="48" spans="1:28">
      <c r="A48" s="230">
        <v>22</v>
      </c>
      <c r="B48" s="230">
        <v>22</v>
      </c>
      <c r="C48" s="230" t="s">
        <v>190</v>
      </c>
      <c r="D48" s="230"/>
      <c r="E48" s="230"/>
      <c r="F48" s="230"/>
      <c r="G48" s="230">
        <v>2</v>
      </c>
      <c r="H48" s="230"/>
      <c r="I48" s="230"/>
      <c r="J48" s="230"/>
      <c r="K48" s="230"/>
      <c r="L48" s="230">
        <v>2</v>
      </c>
      <c r="M48" s="230"/>
      <c r="N48" s="230"/>
      <c r="O48" s="230"/>
      <c r="P48" s="230">
        <v>1</v>
      </c>
      <c r="Q48" s="230">
        <v>2</v>
      </c>
      <c r="R48" s="222"/>
      <c r="S48" s="222"/>
      <c r="T48" s="231"/>
      <c r="U48" s="231">
        <v>0</v>
      </c>
      <c r="V48" s="221" t="str">
        <f t="shared" si="0"/>
        <v>40.64*22.86*11.43</v>
      </c>
      <c r="W48" s="223">
        <v>16</v>
      </c>
      <c r="X48" s="223">
        <v>9</v>
      </c>
      <c r="Y48" s="223">
        <v>4.5</v>
      </c>
      <c r="Z48" s="214">
        <f t="shared" si="4"/>
        <v>40.64</v>
      </c>
      <c r="AA48" s="214">
        <f t="shared" si="4"/>
        <v>22.86</v>
      </c>
      <c r="AB48" s="214">
        <f t="shared" si="4"/>
        <v>11.43</v>
      </c>
    </row>
    <row r="49" spans="1:28">
      <c r="A49" s="230"/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22"/>
      <c r="S49" s="222"/>
      <c r="T49" s="231"/>
      <c r="U49" s="231"/>
      <c r="V49" s="221"/>
      <c r="W49" s="223"/>
      <c r="X49" s="223"/>
      <c r="Y49" s="223"/>
      <c r="Z49" s="214">
        <f t="shared" si="4"/>
        <v>0</v>
      </c>
      <c r="AA49" s="214">
        <f t="shared" si="4"/>
        <v>0</v>
      </c>
      <c r="AB49" s="214">
        <f t="shared" si="4"/>
        <v>0</v>
      </c>
    </row>
    <row r="50" spans="1:28">
      <c r="A50" s="230" t="s">
        <v>281</v>
      </c>
      <c r="B50" s="230"/>
      <c r="C50" s="230" t="s">
        <v>198</v>
      </c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22"/>
      <c r="S50" s="222"/>
      <c r="T50" s="231"/>
      <c r="U50" s="231"/>
      <c r="V50" s="221"/>
      <c r="W50" s="223">
        <v>19</v>
      </c>
      <c r="X50" s="223">
        <v>17</v>
      </c>
      <c r="Y50" s="223">
        <v>9.5</v>
      </c>
      <c r="Z50" s="214">
        <f t="shared" si="4"/>
        <v>48.26</v>
      </c>
      <c r="AA50" s="214">
        <f t="shared" si="4"/>
        <v>43.18</v>
      </c>
      <c r="AB50" s="214">
        <f t="shared" si="4"/>
        <v>24.13</v>
      </c>
    </row>
    <row r="51" spans="1:28">
      <c r="A51" s="230">
        <v>23</v>
      </c>
      <c r="B51" s="230">
        <v>23</v>
      </c>
      <c r="C51" s="230" t="s">
        <v>190</v>
      </c>
      <c r="D51" s="230" t="s">
        <v>228</v>
      </c>
      <c r="E51" s="230" t="s">
        <v>257</v>
      </c>
      <c r="F51" s="230" t="s">
        <v>258</v>
      </c>
      <c r="G51" s="230">
        <v>7</v>
      </c>
      <c r="H51" s="230"/>
      <c r="I51" s="230">
        <v>7</v>
      </c>
      <c r="J51" s="230"/>
      <c r="K51" s="230"/>
      <c r="L51" s="230"/>
      <c r="M51" s="230"/>
      <c r="N51" s="230"/>
      <c r="O51" s="230"/>
      <c r="P51" s="230">
        <v>1</v>
      </c>
      <c r="Q51" s="230">
        <v>7</v>
      </c>
      <c r="R51" s="222">
        <f t="shared" si="2"/>
        <v>0.76999999999999991</v>
      </c>
      <c r="S51" s="222">
        <f t="shared" si="3"/>
        <v>1.42</v>
      </c>
      <c r="T51" s="231">
        <v>0.76999999999999991</v>
      </c>
      <c r="U51" s="231">
        <v>1.42</v>
      </c>
      <c r="V51" s="221" t="str">
        <f t="shared" si="0"/>
        <v>40.64*22.86*11.43</v>
      </c>
      <c r="W51" s="223">
        <v>16</v>
      </c>
      <c r="X51" s="223">
        <v>9</v>
      </c>
      <c r="Y51" s="223">
        <v>4.5</v>
      </c>
      <c r="Z51" s="214">
        <f t="shared" si="4"/>
        <v>40.64</v>
      </c>
      <c r="AA51" s="214">
        <f t="shared" si="4"/>
        <v>22.86</v>
      </c>
      <c r="AB51" s="214">
        <f t="shared" si="4"/>
        <v>11.43</v>
      </c>
    </row>
    <row r="52" spans="1:28">
      <c r="A52" s="230">
        <v>24</v>
      </c>
      <c r="B52" s="230">
        <v>24</v>
      </c>
      <c r="C52" s="230" t="s">
        <v>190</v>
      </c>
      <c r="D52" s="230"/>
      <c r="E52" s="230"/>
      <c r="F52" s="230"/>
      <c r="G52" s="230">
        <v>8</v>
      </c>
      <c r="H52" s="230"/>
      <c r="I52" s="230"/>
      <c r="J52" s="230">
        <v>8</v>
      </c>
      <c r="K52" s="230"/>
      <c r="L52" s="230"/>
      <c r="M52" s="230"/>
      <c r="N52" s="230"/>
      <c r="O52" s="230"/>
      <c r="P52" s="230">
        <v>1</v>
      </c>
      <c r="Q52" s="230">
        <v>8</v>
      </c>
      <c r="R52" s="222"/>
      <c r="S52" s="222"/>
      <c r="T52" s="231"/>
      <c r="U52" s="231">
        <v>0</v>
      </c>
      <c r="V52" s="221" t="str">
        <f t="shared" si="0"/>
        <v>40.64*22.86*11.43</v>
      </c>
      <c r="W52" s="223">
        <v>16</v>
      </c>
      <c r="X52" s="223">
        <v>9</v>
      </c>
      <c r="Y52" s="223">
        <v>4.5</v>
      </c>
      <c r="Z52" s="214">
        <f t="shared" si="4"/>
        <v>40.64</v>
      </c>
      <c r="AA52" s="214">
        <f t="shared" si="4"/>
        <v>22.86</v>
      </c>
      <c r="AB52" s="214">
        <f t="shared" si="4"/>
        <v>11.43</v>
      </c>
    </row>
    <row r="53" spans="1:28">
      <c r="A53" s="230">
        <v>25</v>
      </c>
      <c r="B53" s="230">
        <v>25</v>
      </c>
      <c r="C53" s="230" t="s">
        <v>190</v>
      </c>
      <c r="D53" s="230"/>
      <c r="E53" s="230"/>
      <c r="F53" s="230"/>
      <c r="G53" s="230">
        <v>7</v>
      </c>
      <c r="H53" s="230"/>
      <c r="I53" s="230"/>
      <c r="J53" s="230"/>
      <c r="K53" s="230">
        <v>7</v>
      </c>
      <c r="L53" s="230"/>
      <c r="M53" s="230"/>
      <c r="N53" s="230"/>
      <c r="O53" s="230"/>
      <c r="P53" s="230">
        <v>1</v>
      </c>
      <c r="Q53" s="230">
        <v>7</v>
      </c>
      <c r="R53" s="222"/>
      <c r="S53" s="222"/>
      <c r="T53" s="231"/>
      <c r="U53" s="231">
        <v>0</v>
      </c>
      <c r="V53" s="221" t="str">
        <f t="shared" si="0"/>
        <v>40.64*22.86*11.43</v>
      </c>
      <c r="W53" s="223">
        <v>16</v>
      </c>
      <c r="X53" s="223">
        <v>9</v>
      </c>
      <c r="Y53" s="223">
        <v>4.5</v>
      </c>
      <c r="Z53" s="214">
        <f t="shared" si="4"/>
        <v>40.64</v>
      </c>
      <c r="AA53" s="214">
        <f t="shared" si="4"/>
        <v>22.86</v>
      </c>
      <c r="AB53" s="214">
        <f t="shared" si="4"/>
        <v>11.43</v>
      </c>
    </row>
    <row r="54" spans="1:28">
      <c r="A54" s="230">
        <v>26</v>
      </c>
      <c r="B54" s="230">
        <v>26</v>
      </c>
      <c r="C54" s="230" t="s">
        <v>190</v>
      </c>
      <c r="D54" s="230"/>
      <c r="E54" s="230"/>
      <c r="F54" s="230"/>
      <c r="G54" s="230">
        <v>2</v>
      </c>
      <c r="H54" s="230"/>
      <c r="I54" s="230"/>
      <c r="J54" s="230"/>
      <c r="K54" s="230"/>
      <c r="L54" s="230">
        <v>2</v>
      </c>
      <c r="M54" s="230"/>
      <c r="N54" s="230"/>
      <c r="O54" s="230"/>
      <c r="P54" s="230">
        <v>1</v>
      </c>
      <c r="Q54" s="230">
        <v>2</v>
      </c>
      <c r="R54" s="222"/>
      <c r="S54" s="222"/>
      <c r="T54" s="231"/>
      <c r="U54" s="231">
        <v>0</v>
      </c>
      <c r="V54" s="221" t="str">
        <f t="shared" si="0"/>
        <v>40.64*22.86*11.43</v>
      </c>
      <c r="W54" s="223">
        <v>16</v>
      </c>
      <c r="X54" s="223">
        <v>9</v>
      </c>
      <c r="Y54" s="223">
        <v>4.5</v>
      </c>
      <c r="Z54" s="214">
        <f t="shared" si="4"/>
        <v>40.64</v>
      </c>
      <c r="AA54" s="214">
        <f t="shared" si="4"/>
        <v>22.86</v>
      </c>
      <c r="AB54" s="214">
        <f t="shared" si="4"/>
        <v>11.43</v>
      </c>
    </row>
    <row r="55" spans="1:28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22"/>
      <c r="S55" s="222"/>
      <c r="T55" s="231"/>
      <c r="U55" s="231"/>
      <c r="V55" s="230"/>
    </row>
    <row r="56" spans="1:28" s="216" customFormat="1" ht="14.25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>
        <f>SUM(N20:N55)</f>
        <v>0</v>
      </c>
      <c r="O56" s="232">
        <f>SUM(O20:O55)</f>
        <v>0</v>
      </c>
      <c r="P56" s="232">
        <f>SUM(P20:P55)</f>
        <v>26</v>
      </c>
      <c r="Q56" s="232">
        <f>SUM(Q20:Q55)</f>
        <v>408</v>
      </c>
      <c r="R56" s="232"/>
      <c r="S56" s="305"/>
      <c r="T56" s="232">
        <f>SUM(T20:T55)</f>
        <v>38.470000000000013</v>
      </c>
      <c r="U56" s="305">
        <f>SUM(U20:U55)</f>
        <v>50.42</v>
      </c>
      <c r="V56" s="232"/>
    </row>
    <row r="57" spans="1:28" s="216" customFormat="1" ht="14.25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</row>
    <row r="58" spans="1:28">
      <c r="A58" s="223"/>
      <c r="B58" s="223"/>
      <c r="C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224"/>
      <c r="T58" s="224"/>
      <c r="U58" s="224"/>
      <c r="V58" s="215"/>
    </row>
    <row r="59" spans="1:28">
      <c r="C59" s="234" t="s">
        <v>191</v>
      </c>
      <c r="D59" s="234" t="s">
        <v>181</v>
      </c>
      <c r="E59" s="234" t="s">
        <v>192</v>
      </c>
      <c r="F59" s="234" t="s">
        <v>193</v>
      </c>
      <c r="G59" s="234" t="s">
        <v>59</v>
      </c>
      <c r="H59" s="234" t="s">
        <v>27</v>
      </c>
      <c r="I59" s="234" t="s">
        <v>28</v>
      </c>
      <c r="J59" s="234" t="s">
        <v>29</v>
      </c>
      <c r="K59" s="234" t="s">
        <v>30</v>
      </c>
      <c r="L59" s="234" t="s">
        <v>145</v>
      </c>
      <c r="M59" s="234"/>
      <c r="N59" s="234"/>
      <c r="O59" s="234"/>
      <c r="P59" s="219" t="s">
        <v>31</v>
      </c>
      <c r="Q59" s="219" t="s">
        <v>32</v>
      </c>
    </row>
    <row r="60" spans="1:28">
      <c r="C60" s="235" t="s">
        <v>217</v>
      </c>
      <c r="D60" s="235" t="s">
        <v>219</v>
      </c>
      <c r="E60" s="235" t="s">
        <v>220</v>
      </c>
      <c r="F60" s="235" t="s">
        <v>232</v>
      </c>
      <c r="G60" s="230">
        <v>2</v>
      </c>
      <c r="H60" s="230">
        <v>5</v>
      </c>
      <c r="I60" s="230">
        <v>7</v>
      </c>
      <c r="J60" s="230">
        <v>6</v>
      </c>
      <c r="K60" s="230">
        <v>4</v>
      </c>
      <c r="L60" s="230"/>
      <c r="M60" s="234"/>
      <c r="N60" s="234"/>
      <c r="O60" s="234"/>
      <c r="P60" s="235">
        <v>6</v>
      </c>
      <c r="Q60" s="235">
        <v>120</v>
      </c>
      <c r="W60" s="214">
        <f>+SUM(G60:K60)</f>
        <v>24</v>
      </c>
      <c r="X60" s="214">
        <f>+Q60-W60</f>
        <v>96</v>
      </c>
    </row>
    <row r="61" spans="1:28">
      <c r="C61" s="235" t="s">
        <v>217</v>
      </c>
      <c r="D61" s="235" t="s">
        <v>221</v>
      </c>
      <c r="E61" s="235" t="s">
        <v>220</v>
      </c>
      <c r="F61" s="235" t="s">
        <v>232</v>
      </c>
      <c r="G61" s="230">
        <v>2</v>
      </c>
      <c r="H61" s="230">
        <v>5</v>
      </c>
      <c r="I61" s="230">
        <v>7</v>
      </c>
      <c r="J61" s="230">
        <v>6</v>
      </c>
      <c r="K61" s="230">
        <v>4</v>
      </c>
      <c r="L61" s="230"/>
      <c r="M61" s="234"/>
      <c r="N61" s="234"/>
      <c r="O61" s="234"/>
      <c r="P61" s="235">
        <v>6</v>
      </c>
      <c r="Q61" s="235">
        <v>120</v>
      </c>
    </row>
    <row r="62" spans="1:28">
      <c r="C62" s="235" t="s">
        <v>217</v>
      </c>
      <c r="D62" s="235" t="s">
        <v>227</v>
      </c>
      <c r="E62" s="235" t="s">
        <v>220</v>
      </c>
      <c r="F62" s="235" t="s">
        <v>232</v>
      </c>
      <c r="G62" s="230">
        <v>2</v>
      </c>
      <c r="H62" s="230">
        <v>5</v>
      </c>
      <c r="I62" s="230">
        <v>7</v>
      </c>
      <c r="J62" s="230">
        <v>6</v>
      </c>
      <c r="K62" s="230">
        <v>4</v>
      </c>
      <c r="L62" s="230"/>
      <c r="M62" s="234"/>
      <c r="N62" s="234"/>
      <c r="O62" s="234"/>
      <c r="P62" s="235">
        <v>6</v>
      </c>
      <c r="Q62" s="235">
        <v>120</v>
      </c>
    </row>
    <row r="63" spans="1:28">
      <c r="C63" s="235" t="s">
        <v>217</v>
      </c>
      <c r="D63" s="235" t="s">
        <v>228</v>
      </c>
      <c r="E63" s="235" t="s">
        <v>229</v>
      </c>
      <c r="F63" s="235" t="s">
        <v>268</v>
      </c>
      <c r="G63" s="230">
        <v>2</v>
      </c>
      <c r="H63" s="230">
        <v>5</v>
      </c>
      <c r="I63" s="230">
        <v>7</v>
      </c>
      <c r="J63" s="230">
        <v>6</v>
      </c>
      <c r="K63" s="230">
        <v>4</v>
      </c>
      <c r="L63" s="230"/>
      <c r="M63" s="234"/>
      <c r="N63" s="234"/>
      <c r="O63" s="234"/>
      <c r="P63" s="235">
        <v>4</v>
      </c>
      <c r="Q63" s="235">
        <v>24</v>
      </c>
    </row>
    <row r="64" spans="1:28">
      <c r="C64" s="235" t="s">
        <v>217</v>
      </c>
      <c r="D64" s="235" t="s">
        <v>228</v>
      </c>
      <c r="E64" s="235" t="s">
        <v>223</v>
      </c>
      <c r="F64" s="235" t="s">
        <v>258</v>
      </c>
      <c r="G64" s="230">
        <v>2</v>
      </c>
      <c r="H64" s="230">
        <v>5</v>
      </c>
      <c r="I64" s="230">
        <v>7</v>
      </c>
      <c r="J64" s="230">
        <v>6</v>
      </c>
      <c r="K64" s="230">
        <v>4</v>
      </c>
      <c r="L64" s="230"/>
      <c r="M64" s="234"/>
      <c r="N64" s="234"/>
      <c r="O64" s="234"/>
      <c r="P64" s="235">
        <v>4</v>
      </c>
      <c r="Q64" s="235">
        <v>24</v>
      </c>
    </row>
    <row r="65" spans="3:17">
      <c r="C65" s="235"/>
      <c r="D65" s="235"/>
      <c r="E65" s="235"/>
      <c r="F65" s="235"/>
      <c r="G65" s="230"/>
      <c r="H65" s="230"/>
      <c r="I65" s="230"/>
      <c r="J65" s="230"/>
      <c r="K65" s="230"/>
      <c r="L65" s="234"/>
      <c r="M65" s="234"/>
      <c r="N65" s="234"/>
      <c r="O65" s="234"/>
      <c r="P65" s="235"/>
      <c r="Q65" s="235"/>
    </row>
    <row r="66" spans="3:17"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</row>
    <row r="67" spans="3:17">
      <c r="C67" s="215"/>
      <c r="D67" s="215"/>
      <c r="E67" s="215"/>
      <c r="F67" s="215"/>
      <c r="G67" s="215"/>
      <c r="H67" s="215"/>
      <c r="I67" s="215"/>
      <c r="J67" s="218" t="s">
        <v>33</v>
      </c>
      <c r="K67" s="215"/>
      <c r="L67" s="218"/>
      <c r="M67" s="218"/>
      <c r="N67" s="218"/>
      <c r="O67" s="218"/>
      <c r="P67" s="218">
        <f>SUM(P60:P65)</f>
        <v>26</v>
      </c>
      <c r="Q67" s="218">
        <f>SUM(Q60:Q65)</f>
        <v>408</v>
      </c>
    </row>
  </sheetData>
  <autoFilter ref="A18:IT62" xr:uid="{00000000-0009-0000-0000-000004000000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48402777800000002" bottom="0.48402777800000002" header="0.51180555555555496" footer="0.51180555555555496"/>
  <pageSetup scale="54" fitToHeight="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7471-DD41-438A-83D5-51F9CD155CEB}">
  <sheetPr>
    <pageSetUpPr fitToPage="1"/>
  </sheetPr>
  <dimension ref="A1:CG67"/>
  <sheetViews>
    <sheetView view="pageBreakPreview" topLeftCell="A15" zoomScale="70" zoomScaleNormal="70" zoomScaleSheetLayoutView="70" workbookViewId="0">
      <selection activeCell="S35" sqref="A1:XFD1048576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2.7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218</v>
      </c>
      <c r="G13" s="214" t="s">
        <v>176</v>
      </c>
    </row>
    <row r="14" spans="1:85">
      <c r="A14" s="291" t="s">
        <v>177</v>
      </c>
      <c r="B14" s="291"/>
      <c r="D14" s="214" t="str">
        <f>+B13</f>
        <v>XL102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/>
    </row>
    <row r="20" spans="1:28">
      <c r="A20" s="221">
        <v>1</v>
      </c>
      <c r="B20" s="221">
        <v>1</v>
      </c>
      <c r="C20" s="221"/>
      <c r="D20" s="221" t="s">
        <v>222</v>
      </c>
      <c r="E20" s="221" t="s">
        <v>231</v>
      </c>
      <c r="F20" s="221" t="s">
        <v>232</v>
      </c>
      <c r="G20" s="221">
        <v>12</v>
      </c>
      <c r="H20" s="221">
        <v>12</v>
      </c>
      <c r="I20" s="221"/>
      <c r="J20" s="221"/>
      <c r="K20" s="221"/>
      <c r="L20" s="221"/>
      <c r="M20" s="221"/>
      <c r="N20" s="221"/>
      <c r="O20" s="221"/>
      <c r="P20" s="221">
        <v>1</v>
      </c>
      <c r="Q20" s="221">
        <v>12</v>
      </c>
      <c r="R20" s="222">
        <f>+T20/P20</f>
        <v>1.04</v>
      </c>
      <c r="S20" s="222">
        <f>+U20/P20</f>
        <v>1.44</v>
      </c>
      <c r="T20" s="222">
        <v>1.04</v>
      </c>
      <c r="U20" s="222">
        <v>1.44</v>
      </c>
      <c r="V20" s="221" t="str">
        <f t="shared" ref="V20:V29" si="0">Z20&amp;"*"&amp;AA20&amp;"*"&amp;AB20</f>
        <v>44.45*25.4*7.62</v>
      </c>
      <c r="W20" s="223">
        <v>17.5</v>
      </c>
      <c r="X20" s="223">
        <v>10</v>
      </c>
      <c r="Y20" s="223">
        <v>3</v>
      </c>
      <c r="Z20" s="214">
        <f t="shared" ref="Z20:AB29" si="1">+W20*2.54</f>
        <v>44.45</v>
      </c>
      <c r="AA20" s="214">
        <f t="shared" si="1"/>
        <v>25.4</v>
      </c>
      <c r="AB20" s="214">
        <f t="shared" si="1"/>
        <v>7.62</v>
      </c>
    </row>
    <row r="21" spans="1:28">
      <c r="A21" s="221">
        <v>2</v>
      </c>
      <c r="B21" s="221">
        <v>2</v>
      </c>
      <c r="C21" s="221" t="s">
        <v>189</v>
      </c>
      <c r="D21" s="221"/>
      <c r="E21" s="221"/>
      <c r="F21" s="221"/>
      <c r="G21" s="221">
        <v>24</v>
      </c>
      <c r="H21" s="221"/>
      <c r="I21" s="221">
        <v>24</v>
      </c>
      <c r="J21" s="221"/>
      <c r="K21" s="221"/>
      <c r="L21" s="221"/>
      <c r="M21" s="221"/>
      <c r="N21" s="221"/>
      <c r="O21" s="221"/>
      <c r="P21" s="221">
        <v>1</v>
      </c>
      <c r="Q21" s="221">
        <v>24</v>
      </c>
      <c r="R21" s="222">
        <f t="shared" ref="R21:R26" si="2">+T21/P21</f>
        <v>2.16</v>
      </c>
      <c r="S21" s="222">
        <f t="shared" ref="S21:S26" si="3">+U21/P21</f>
        <v>3.06</v>
      </c>
      <c r="T21" s="222">
        <v>2.16</v>
      </c>
      <c r="U21" s="222">
        <v>3.06</v>
      </c>
      <c r="V21" s="221" t="str">
        <f t="shared" si="0"/>
        <v>50.8*43.18*8.89</v>
      </c>
      <c r="W21" s="223">
        <v>20</v>
      </c>
      <c r="X21" s="223">
        <v>17</v>
      </c>
      <c r="Y21" s="223">
        <v>3.5</v>
      </c>
      <c r="Z21" s="214">
        <f t="shared" si="1"/>
        <v>50.8</v>
      </c>
      <c r="AA21" s="214">
        <f t="shared" si="1"/>
        <v>43.18</v>
      </c>
      <c r="AB21" s="214">
        <f t="shared" si="1"/>
        <v>8.89</v>
      </c>
    </row>
    <row r="22" spans="1:28">
      <c r="A22" s="230">
        <v>3</v>
      </c>
      <c r="B22" s="230">
        <v>3</v>
      </c>
      <c r="C22" s="230" t="s">
        <v>189</v>
      </c>
      <c r="D22" s="230"/>
      <c r="E22" s="230"/>
      <c r="F22" s="230"/>
      <c r="G22" s="230">
        <v>24</v>
      </c>
      <c r="H22" s="230"/>
      <c r="I22" s="230"/>
      <c r="J22" s="230">
        <v>24</v>
      </c>
      <c r="K22" s="230"/>
      <c r="L22" s="230"/>
      <c r="M22" s="230"/>
      <c r="N22" s="230"/>
      <c r="O22" s="230"/>
      <c r="P22" s="221">
        <v>1</v>
      </c>
      <c r="Q22" s="230">
        <v>24</v>
      </c>
      <c r="R22" s="222">
        <f t="shared" si="2"/>
        <v>2.2800000000000002</v>
      </c>
      <c r="S22" s="222">
        <f t="shared" si="3"/>
        <v>3.18</v>
      </c>
      <c r="T22" s="231">
        <v>2.2800000000000002</v>
      </c>
      <c r="U22" s="231">
        <v>3.18</v>
      </c>
      <c r="V22" s="221" t="str">
        <f t="shared" si="0"/>
        <v>50.8*43.18*8.89</v>
      </c>
      <c r="W22" s="223">
        <v>20</v>
      </c>
      <c r="X22" s="223">
        <v>17</v>
      </c>
      <c r="Y22" s="223">
        <v>3.5</v>
      </c>
      <c r="Z22" s="214">
        <f t="shared" si="1"/>
        <v>50.8</v>
      </c>
      <c r="AA22" s="214">
        <f t="shared" si="1"/>
        <v>43.18</v>
      </c>
      <c r="AB22" s="214">
        <f t="shared" si="1"/>
        <v>8.89</v>
      </c>
    </row>
    <row r="23" spans="1:28">
      <c r="A23" s="230">
        <v>4</v>
      </c>
      <c r="B23" s="230">
        <v>4</v>
      </c>
      <c r="C23" s="230" t="s">
        <v>189</v>
      </c>
      <c r="D23" s="230"/>
      <c r="E23" s="230"/>
      <c r="F23" s="230"/>
      <c r="G23" s="230">
        <v>12</v>
      </c>
      <c r="H23" s="230"/>
      <c r="I23" s="230"/>
      <c r="J23" s="230"/>
      <c r="K23" s="230">
        <v>12</v>
      </c>
      <c r="L23" s="230"/>
      <c r="M23" s="230"/>
      <c r="N23" s="230"/>
      <c r="O23" s="230"/>
      <c r="P23" s="230">
        <v>1</v>
      </c>
      <c r="Q23" s="230">
        <v>12</v>
      </c>
      <c r="R23" s="222">
        <f t="shared" si="2"/>
        <v>1.4</v>
      </c>
      <c r="S23" s="222">
        <f t="shared" si="3"/>
        <v>1.8</v>
      </c>
      <c r="T23" s="231">
        <v>1.4</v>
      </c>
      <c r="U23" s="231">
        <v>1.8</v>
      </c>
      <c r="V23" s="221" t="str">
        <f t="shared" si="0"/>
        <v>44.45*25.4*7.62</v>
      </c>
      <c r="W23" s="223">
        <v>17.5</v>
      </c>
      <c r="X23" s="223">
        <v>10</v>
      </c>
      <c r="Y23" s="223">
        <v>3</v>
      </c>
      <c r="Z23" s="214">
        <f t="shared" si="1"/>
        <v>44.45</v>
      </c>
      <c r="AA23" s="214">
        <f t="shared" si="1"/>
        <v>25.4</v>
      </c>
      <c r="AB23" s="214">
        <f t="shared" si="1"/>
        <v>7.62</v>
      </c>
    </row>
    <row r="24" spans="1:28">
      <c r="A24" s="230"/>
      <c r="B24" s="230"/>
      <c r="C24" s="230" t="s">
        <v>198</v>
      </c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/>
      <c r="X24" s="223"/>
      <c r="Y24" s="223"/>
      <c r="Z24" s="214">
        <f t="shared" si="1"/>
        <v>0</v>
      </c>
      <c r="AA24" s="214">
        <f t="shared" si="1"/>
        <v>0</v>
      </c>
      <c r="AB24" s="214">
        <f t="shared" si="1"/>
        <v>0</v>
      </c>
    </row>
    <row r="25" spans="1:28">
      <c r="A25" s="230" t="s">
        <v>201</v>
      </c>
      <c r="B25" s="230"/>
      <c r="C25" s="230" t="s">
        <v>190</v>
      </c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22"/>
      <c r="S25" s="222"/>
      <c r="T25" s="231"/>
      <c r="U25" s="231"/>
      <c r="V25" s="221" t="str">
        <f t="shared" si="0"/>
        <v>48.26*27.94*21.59</v>
      </c>
      <c r="W25" s="223">
        <v>19</v>
      </c>
      <c r="X25" s="223">
        <v>11</v>
      </c>
      <c r="Y25" s="223">
        <v>8.5</v>
      </c>
      <c r="Z25" s="214">
        <f t="shared" si="1"/>
        <v>48.26</v>
      </c>
      <c r="AA25" s="214">
        <f t="shared" si="1"/>
        <v>27.94</v>
      </c>
      <c r="AB25" s="214">
        <f t="shared" si="1"/>
        <v>21.59</v>
      </c>
    </row>
    <row r="26" spans="1:28">
      <c r="A26" s="230">
        <v>5</v>
      </c>
      <c r="B26" s="230">
        <v>5</v>
      </c>
      <c r="C26" s="230" t="s">
        <v>190</v>
      </c>
      <c r="D26" s="230" t="s">
        <v>222</v>
      </c>
      <c r="E26" s="230" t="s">
        <v>257</v>
      </c>
      <c r="F26" s="230" t="s">
        <v>258</v>
      </c>
      <c r="G26" s="230">
        <v>8</v>
      </c>
      <c r="H26" s="230"/>
      <c r="I26" s="230">
        <v>8</v>
      </c>
      <c r="J26" s="230"/>
      <c r="K26" s="230"/>
      <c r="L26" s="230"/>
      <c r="M26" s="230"/>
      <c r="N26" s="230"/>
      <c r="O26" s="230"/>
      <c r="P26" s="230">
        <v>1</v>
      </c>
      <c r="Q26" s="230">
        <v>8</v>
      </c>
      <c r="R26" s="222">
        <f t="shared" si="2"/>
        <v>0.82000000000000006</v>
      </c>
      <c r="S26" s="222">
        <f t="shared" si="3"/>
        <v>1.06</v>
      </c>
      <c r="T26" s="231">
        <v>0.82000000000000006</v>
      </c>
      <c r="U26" s="231">
        <v>1.06</v>
      </c>
      <c r="V26" s="221" t="str">
        <f t="shared" si="0"/>
        <v>25.4*22.86*8.89</v>
      </c>
      <c r="W26" s="223">
        <v>10</v>
      </c>
      <c r="X26" s="223">
        <v>9</v>
      </c>
      <c r="Y26" s="223">
        <v>3.5</v>
      </c>
      <c r="Z26" s="214">
        <f t="shared" si="1"/>
        <v>25.4</v>
      </c>
      <c r="AA26" s="214">
        <f t="shared" si="1"/>
        <v>22.86</v>
      </c>
      <c r="AB26" s="214">
        <f t="shared" si="1"/>
        <v>8.89</v>
      </c>
    </row>
    <row r="27" spans="1:28">
      <c r="A27" s="230">
        <v>6</v>
      </c>
      <c r="B27" s="230">
        <v>6</v>
      </c>
      <c r="C27" s="230"/>
      <c r="D27" s="230"/>
      <c r="E27" s="230"/>
      <c r="F27" s="230"/>
      <c r="G27" s="230">
        <v>8</v>
      </c>
      <c r="H27" s="230"/>
      <c r="I27" s="230"/>
      <c r="J27" s="230">
        <v>8</v>
      </c>
      <c r="K27" s="230"/>
      <c r="L27" s="230"/>
      <c r="M27" s="230"/>
      <c r="N27" s="230"/>
      <c r="O27" s="230"/>
      <c r="P27" s="230"/>
      <c r="Q27" s="230">
        <v>8</v>
      </c>
      <c r="R27" s="222"/>
      <c r="S27" s="222"/>
      <c r="T27" s="231"/>
      <c r="U27" s="231"/>
      <c r="V27" s="221" t="str">
        <f t="shared" si="0"/>
        <v>25.4*22.86*8.89</v>
      </c>
      <c r="W27" s="223">
        <v>10</v>
      </c>
      <c r="X27" s="223">
        <v>9</v>
      </c>
      <c r="Y27" s="223">
        <v>3.5</v>
      </c>
      <c r="Z27" s="214">
        <f t="shared" si="1"/>
        <v>25.4</v>
      </c>
      <c r="AA27" s="214">
        <f t="shared" si="1"/>
        <v>22.86</v>
      </c>
      <c r="AB27" s="214">
        <f t="shared" si="1"/>
        <v>8.89</v>
      </c>
    </row>
    <row r="28" spans="1:28">
      <c r="A28" s="230">
        <v>7</v>
      </c>
      <c r="B28" s="230">
        <v>7</v>
      </c>
      <c r="C28" s="230" t="s">
        <v>189</v>
      </c>
      <c r="D28" s="230"/>
      <c r="E28" s="230"/>
      <c r="F28" s="230"/>
      <c r="G28" s="230">
        <v>4</v>
      </c>
      <c r="H28" s="230">
        <v>4</v>
      </c>
      <c r="I28" s="230"/>
      <c r="J28" s="230"/>
      <c r="K28" s="230"/>
      <c r="L28" s="230"/>
      <c r="M28" s="230"/>
      <c r="N28" s="230"/>
      <c r="O28" s="230"/>
      <c r="P28" s="230"/>
      <c r="Q28" s="230">
        <v>4</v>
      </c>
      <c r="R28" s="222"/>
      <c r="S28" s="222"/>
      <c r="T28" s="231"/>
      <c r="U28" s="231"/>
      <c r="V28" s="221" t="str">
        <f t="shared" si="0"/>
        <v>25.4*22.86*8.89</v>
      </c>
      <c r="W28" s="223">
        <v>10</v>
      </c>
      <c r="X28" s="223">
        <v>9</v>
      </c>
      <c r="Y28" s="223">
        <v>3.5</v>
      </c>
      <c r="Z28" s="214">
        <f t="shared" si="1"/>
        <v>25.4</v>
      </c>
      <c r="AA28" s="214">
        <f t="shared" si="1"/>
        <v>22.86</v>
      </c>
      <c r="AB28" s="214">
        <f t="shared" si="1"/>
        <v>8.89</v>
      </c>
    </row>
    <row r="29" spans="1:28">
      <c r="A29" s="230">
        <v>8</v>
      </c>
      <c r="B29" s="230">
        <v>8</v>
      </c>
      <c r="C29" s="230" t="s">
        <v>189</v>
      </c>
      <c r="D29" s="230"/>
      <c r="E29" s="230"/>
      <c r="F29" s="230"/>
      <c r="G29" s="230">
        <v>4</v>
      </c>
      <c r="H29" s="230"/>
      <c r="I29" s="230"/>
      <c r="J29" s="230"/>
      <c r="K29" s="230">
        <v>4</v>
      </c>
      <c r="L29" s="230"/>
      <c r="M29" s="230"/>
      <c r="N29" s="230"/>
      <c r="O29" s="230"/>
      <c r="P29" s="230"/>
      <c r="Q29" s="230">
        <v>4</v>
      </c>
      <c r="R29" s="222"/>
      <c r="S29" s="222"/>
      <c r="T29" s="231"/>
      <c r="U29" s="231"/>
      <c r="V29" s="221" t="str">
        <f t="shared" si="0"/>
        <v>25.4*22.86*8.89</v>
      </c>
      <c r="W29" s="223">
        <v>10</v>
      </c>
      <c r="X29" s="223">
        <v>9</v>
      </c>
      <c r="Y29" s="223">
        <v>3.5</v>
      </c>
      <c r="Z29" s="214">
        <f t="shared" si="1"/>
        <v>25.4</v>
      </c>
      <c r="AA29" s="214">
        <f t="shared" si="1"/>
        <v>22.86</v>
      </c>
      <c r="AB29" s="214">
        <f t="shared" si="1"/>
        <v>8.89</v>
      </c>
    </row>
    <row r="30" spans="1:28">
      <c r="A30" s="230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22"/>
      <c r="S30" s="222"/>
      <c r="T30" s="231"/>
      <c r="U30" s="231"/>
      <c r="V30" s="230"/>
    </row>
    <row r="31" spans="1:28" s="216" customFormat="1" ht="14.25">
      <c r="A31" s="232"/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>
        <f>SUM(N20:N30)</f>
        <v>0</v>
      </c>
      <c r="O31" s="232">
        <f>SUM(O20:O30)</f>
        <v>0</v>
      </c>
      <c r="P31" s="232">
        <f>SUM(P20:P30)</f>
        <v>5</v>
      </c>
      <c r="Q31" s="232">
        <f>SUM(Q20:Q30)</f>
        <v>96</v>
      </c>
      <c r="R31" s="232"/>
      <c r="S31" s="305"/>
      <c r="T31" s="232">
        <f>SUM(T20:T30)</f>
        <v>7.7000000000000011</v>
      </c>
      <c r="U31" s="305">
        <f>SUM(U20:U30)</f>
        <v>10.540000000000001</v>
      </c>
      <c r="V31" s="232"/>
    </row>
    <row r="32" spans="1:28" s="216" customFormat="1" ht="14.25">
      <c r="A32" s="233"/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</row>
    <row r="33" spans="1:24">
      <c r="A33" s="223"/>
      <c r="B33" s="223"/>
      <c r="C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4"/>
      <c r="S33" s="224"/>
      <c r="T33" s="224"/>
      <c r="U33" s="224"/>
      <c r="V33" s="215"/>
    </row>
    <row r="34" spans="1:24">
      <c r="C34" s="234" t="s">
        <v>191</v>
      </c>
      <c r="D34" s="234" t="s">
        <v>181</v>
      </c>
      <c r="E34" s="234" t="s">
        <v>192</v>
      </c>
      <c r="F34" s="234" t="s">
        <v>193</v>
      </c>
      <c r="G34" s="234" t="s">
        <v>59</v>
      </c>
      <c r="H34" s="234" t="s">
        <v>27</v>
      </c>
      <c r="I34" s="234" t="s">
        <v>28</v>
      </c>
      <c r="J34" s="234" t="s">
        <v>29</v>
      </c>
      <c r="K34" s="234" t="s">
        <v>30</v>
      </c>
      <c r="L34" s="234" t="s">
        <v>145</v>
      </c>
      <c r="M34" s="234"/>
      <c r="N34" s="234"/>
      <c r="O34" s="234"/>
      <c r="P34" s="219" t="s">
        <v>31</v>
      </c>
      <c r="Q34" s="219" t="s">
        <v>32</v>
      </c>
    </row>
    <row r="35" spans="1:24">
      <c r="C35" s="235" t="s">
        <v>218</v>
      </c>
      <c r="D35" s="235" t="s">
        <v>222</v>
      </c>
      <c r="E35" s="235" t="s">
        <v>220</v>
      </c>
      <c r="F35" s="235" t="s">
        <v>232</v>
      </c>
      <c r="G35" s="230">
        <v>12</v>
      </c>
      <c r="H35" s="230">
        <v>24</v>
      </c>
      <c r="I35" s="230">
        <v>24</v>
      </c>
      <c r="J35" s="230">
        <v>12</v>
      </c>
      <c r="K35" s="230"/>
      <c r="L35" s="230"/>
      <c r="M35" s="234"/>
      <c r="N35" s="234"/>
      <c r="O35" s="234"/>
      <c r="P35" s="235">
        <v>4</v>
      </c>
      <c r="Q35" s="235">
        <v>72</v>
      </c>
      <c r="W35" s="214">
        <f>+SUM(G35:K35)</f>
        <v>72</v>
      </c>
      <c r="X35" s="214">
        <f>+Q35-W35</f>
        <v>0</v>
      </c>
    </row>
    <row r="36" spans="1:24">
      <c r="C36" s="235" t="s">
        <v>218</v>
      </c>
      <c r="D36" s="235" t="s">
        <v>222</v>
      </c>
      <c r="E36" s="235" t="s">
        <v>223</v>
      </c>
      <c r="F36" s="235" t="s">
        <v>258</v>
      </c>
      <c r="G36" s="230">
        <v>4</v>
      </c>
      <c r="H36" s="230">
        <v>8</v>
      </c>
      <c r="I36" s="230">
        <v>8</v>
      </c>
      <c r="J36" s="230">
        <v>4</v>
      </c>
      <c r="K36" s="230"/>
      <c r="L36" s="230"/>
      <c r="M36" s="234"/>
      <c r="N36" s="234"/>
      <c r="O36" s="234"/>
      <c r="P36" s="235">
        <v>1</v>
      </c>
      <c r="Q36" s="235">
        <v>24</v>
      </c>
    </row>
    <row r="37" spans="1:24">
      <c r="C37" s="235"/>
      <c r="D37" s="235"/>
      <c r="E37" s="235"/>
      <c r="F37" s="235"/>
      <c r="G37" s="230"/>
      <c r="H37" s="230"/>
      <c r="I37" s="230"/>
      <c r="J37" s="230"/>
      <c r="K37" s="230"/>
      <c r="L37" s="234"/>
      <c r="M37" s="234"/>
      <c r="N37" s="234"/>
      <c r="O37" s="234"/>
      <c r="P37" s="235"/>
      <c r="Q37" s="235"/>
    </row>
    <row r="38" spans="1:24"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</row>
    <row r="39" spans="1:24">
      <c r="C39" s="215"/>
      <c r="D39" s="215"/>
      <c r="E39" s="215"/>
      <c r="F39" s="215"/>
      <c r="G39" s="215"/>
      <c r="H39" s="215"/>
      <c r="I39" s="215"/>
      <c r="J39" s="218" t="s">
        <v>33</v>
      </c>
      <c r="K39" s="215"/>
      <c r="L39" s="218"/>
      <c r="M39" s="218"/>
      <c r="N39" s="218"/>
      <c r="O39" s="218"/>
      <c r="P39" s="218">
        <f>SUM(P35:P37)</f>
        <v>5</v>
      </c>
      <c r="Q39" s="218">
        <f>SUM(Q35:Q37)</f>
        <v>96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</sheetData>
  <autoFilter ref="A18:V31" xr:uid="{151E6488-ABA6-4E06-80C9-0962DA883E62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98402777777777795" bottom="0.98402777777777795" header="0.51180555555555496" footer="0.51180555555555496"/>
  <pageSetup scale="54" fitToHeight="2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2158-55C2-4A72-A949-DC02686FBAE9}">
  <sheetPr>
    <pageSetUpPr fitToPage="1"/>
  </sheetPr>
  <dimension ref="A1:CG67"/>
  <sheetViews>
    <sheetView tabSelected="1" view="pageBreakPreview" topLeftCell="A22" zoomScale="85" zoomScaleNormal="70" zoomScaleSheetLayoutView="85" workbookViewId="0">
      <selection activeCell="R39" sqref="R39"/>
    </sheetView>
  </sheetViews>
  <sheetFormatPr defaultColWidth="11.25" defaultRowHeight="15"/>
  <cols>
    <col min="1" max="1" width="11.25" style="214"/>
    <col min="2" max="2" width="7.625" style="214" customWidth="1"/>
    <col min="3" max="3" width="14.375" style="214" customWidth="1"/>
    <col min="4" max="4" width="12.75" style="214" customWidth="1"/>
    <col min="5" max="5" width="20.25" style="214" bestFit="1" customWidth="1"/>
    <col min="6" max="6" width="11" style="214" customWidth="1"/>
    <col min="7" max="7" width="9.25" style="214" customWidth="1"/>
    <col min="8" max="9" width="5.75" style="214" customWidth="1"/>
    <col min="10" max="10" width="6.75" style="214" customWidth="1"/>
    <col min="11" max="11" width="7.625" style="214" customWidth="1"/>
    <col min="12" max="13" width="7.25" style="214" customWidth="1"/>
    <col min="14" max="15" width="7.25" style="214" hidden="1" customWidth="1"/>
    <col min="16" max="17" width="11.25" style="214"/>
    <col min="18" max="18" width="15" style="214" bestFit="1" customWidth="1"/>
    <col min="19" max="19" width="13.75" style="214" bestFit="1" customWidth="1"/>
    <col min="20" max="20" width="14.125" style="214" bestFit="1" customWidth="1"/>
    <col min="21" max="21" width="15" style="214" bestFit="1" customWidth="1"/>
    <col min="22" max="22" width="20.875" style="214" customWidth="1"/>
    <col min="23" max="16384" width="11.25" style="214"/>
  </cols>
  <sheetData>
    <row r="1" spans="1:85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3" spans="1:85">
      <c r="A3" s="215"/>
      <c r="B3" s="215"/>
      <c r="C3" s="215"/>
      <c r="D3" s="215"/>
      <c r="E3" s="215"/>
      <c r="F3" s="215"/>
      <c r="G3" s="215"/>
      <c r="L3" s="215"/>
      <c r="M3" s="215"/>
      <c r="N3" s="215"/>
      <c r="O3" s="215"/>
    </row>
    <row r="4" spans="1:85" ht="25.5">
      <c r="A4" s="290" t="s">
        <v>0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</row>
    <row r="5" spans="1:85">
      <c r="G5" s="214" t="s">
        <v>43</v>
      </c>
    </row>
    <row r="6" spans="1:85">
      <c r="A6" s="216" t="s">
        <v>168</v>
      </c>
      <c r="B6" s="216"/>
      <c r="D6" s="214" t="str">
        <f>+'[1]INVOICE 11'!C7</f>
        <v>SUPREME INTERNATIONAL, LLC</v>
      </c>
      <c r="F6" s="217"/>
      <c r="G6" s="214" t="s">
        <v>169</v>
      </c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</row>
    <row r="7" spans="1:85">
      <c r="A7" s="216"/>
      <c r="B7" s="216"/>
      <c r="E7" s="217"/>
      <c r="F7" s="217"/>
      <c r="G7" s="214" t="s">
        <v>170</v>
      </c>
    </row>
    <row r="8" spans="1:85">
      <c r="A8" s="216"/>
      <c r="B8" s="216"/>
      <c r="C8" s="225"/>
      <c r="D8" s="225"/>
      <c r="E8" s="225"/>
      <c r="F8" s="225"/>
      <c r="G8" s="214" t="s">
        <v>45</v>
      </c>
    </row>
    <row r="9" spans="1:85">
      <c r="A9" s="216"/>
      <c r="B9" s="216"/>
      <c r="G9" s="214" t="s">
        <v>171</v>
      </c>
    </row>
    <row r="10" spans="1:85">
      <c r="A10" s="216"/>
      <c r="B10" s="216"/>
      <c r="G10" s="214" t="s">
        <v>172</v>
      </c>
    </row>
    <row r="11" spans="1:85">
      <c r="A11" s="216"/>
      <c r="B11" s="216"/>
    </row>
    <row r="12" spans="1:85">
      <c r="A12" s="291" t="s">
        <v>173</v>
      </c>
      <c r="B12" s="291"/>
      <c r="G12" s="214" t="s">
        <v>174</v>
      </c>
    </row>
    <row r="13" spans="1:85">
      <c r="A13" s="216" t="s">
        <v>175</v>
      </c>
      <c r="B13" s="216" t="s">
        <v>218</v>
      </c>
      <c r="G13" s="214" t="s">
        <v>176</v>
      </c>
    </row>
    <row r="14" spans="1:85">
      <c r="A14" s="291" t="s">
        <v>177</v>
      </c>
      <c r="B14" s="291"/>
      <c r="D14" s="214" t="str">
        <f>+B13</f>
        <v>XL102</v>
      </c>
    </row>
    <row r="15" spans="1:85">
      <c r="A15" s="216" t="s">
        <v>178</v>
      </c>
      <c r="B15" s="216"/>
      <c r="C15" s="214">
        <f>+'INVOICE 94'!M2</f>
        <v>7726477</v>
      </c>
      <c r="D15" s="216"/>
      <c r="R15" s="218"/>
      <c r="S15" s="218"/>
    </row>
    <row r="16" spans="1:85">
      <c r="A16" s="291" t="s">
        <v>179</v>
      </c>
      <c r="B16" s="291"/>
    </row>
    <row r="18" spans="1:28">
      <c r="A18" s="292" t="s">
        <v>180</v>
      </c>
      <c r="B18" s="292"/>
      <c r="C18" s="219" t="s">
        <v>182</v>
      </c>
      <c r="D18" s="219" t="s">
        <v>181</v>
      </c>
      <c r="E18" s="219" t="s">
        <v>183</v>
      </c>
      <c r="F18" s="219" t="s">
        <v>184</v>
      </c>
      <c r="G18" s="219" t="s">
        <v>26</v>
      </c>
      <c r="H18" s="219" t="s">
        <v>59</v>
      </c>
      <c r="I18" s="219" t="s">
        <v>27</v>
      </c>
      <c r="J18" s="219" t="s">
        <v>28</v>
      </c>
      <c r="K18" s="219" t="s">
        <v>29</v>
      </c>
      <c r="L18" s="219" t="s">
        <v>30</v>
      </c>
      <c r="M18" s="219" t="s">
        <v>145</v>
      </c>
      <c r="N18" s="219">
        <v>6</v>
      </c>
      <c r="O18" s="219" t="s">
        <v>165</v>
      </c>
      <c r="P18" s="219" t="s">
        <v>31</v>
      </c>
      <c r="Q18" s="219" t="s">
        <v>32</v>
      </c>
      <c r="R18" s="219" t="s">
        <v>185</v>
      </c>
      <c r="S18" s="219" t="s">
        <v>186</v>
      </c>
      <c r="T18" s="220" t="s">
        <v>188</v>
      </c>
      <c r="U18" s="219" t="s">
        <v>187</v>
      </c>
      <c r="V18" s="220" t="s">
        <v>203</v>
      </c>
    </row>
    <row r="19" spans="1:28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4"/>
      <c r="U19" s="232"/>
      <c r="V19" s="221"/>
    </row>
    <row r="20" spans="1:28">
      <c r="A20" s="221">
        <v>1</v>
      </c>
      <c r="B20" s="221">
        <v>1</v>
      </c>
      <c r="C20" s="221"/>
      <c r="D20" s="221" t="s">
        <v>222</v>
      </c>
      <c r="E20" s="221" t="s">
        <v>231</v>
      </c>
      <c r="F20" s="221" t="s">
        <v>232</v>
      </c>
      <c r="G20" s="221">
        <v>12</v>
      </c>
      <c r="H20" s="221">
        <v>12</v>
      </c>
      <c r="I20" s="221"/>
      <c r="J20" s="221"/>
      <c r="K20" s="221"/>
      <c r="L20" s="221"/>
      <c r="M20" s="221"/>
      <c r="N20" s="221"/>
      <c r="O20" s="221"/>
      <c r="P20" s="221">
        <v>1</v>
      </c>
      <c r="Q20" s="221">
        <v>12</v>
      </c>
      <c r="R20" s="222">
        <f>+T20/P20</f>
        <v>1.04</v>
      </c>
      <c r="S20" s="222">
        <f>+U20/P20</f>
        <v>1.44</v>
      </c>
      <c r="T20" s="222">
        <v>1.04</v>
      </c>
      <c r="U20" s="222">
        <v>1.44</v>
      </c>
      <c r="V20" s="221" t="str">
        <f t="shared" ref="V20:V29" si="0">Z20&amp;"*"&amp;AA20&amp;"*"&amp;AB20</f>
        <v>44.45*25.4*7.62</v>
      </c>
      <c r="W20" s="223">
        <v>17.5</v>
      </c>
      <c r="X20" s="223">
        <v>10</v>
      </c>
      <c r="Y20" s="223">
        <v>3</v>
      </c>
      <c r="Z20" s="214">
        <f t="shared" ref="Z20:AB29" si="1">+W20*2.54</f>
        <v>44.45</v>
      </c>
      <c r="AA20" s="214">
        <f t="shared" si="1"/>
        <v>25.4</v>
      </c>
      <c r="AB20" s="214">
        <f t="shared" si="1"/>
        <v>7.62</v>
      </c>
    </row>
    <row r="21" spans="1:28">
      <c r="A21" s="221">
        <v>2</v>
      </c>
      <c r="B21" s="221">
        <v>2</v>
      </c>
      <c r="C21" s="221" t="s">
        <v>189</v>
      </c>
      <c r="D21" s="221"/>
      <c r="E21" s="221"/>
      <c r="F21" s="221"/>
      <c r="G21" s="221">
        <v>24</v>
      </c>
      <c r="H21" s="221"/>
      <c r="I21" s="221">
        <v>24</v>
      </c>
      <c r="J21" s="221"/>
      <c r="K21" s="221"/>
      <c r="L21" s="221"/>
      <c r="M21" s="221"/>
      <c r="N21" s="221"/>
      <c r="O21" s="221"/>
      <c r="P21" s="221">
        <v>1</v>
      </c>
      <c r="Q21" s="221">
        <v>24</v>
      </c>
      <c r="R21" s="222">
        <f t="shared" ref="R21:R26" si="2">+T21/P21</f>
        <v>2.16</v>
      </c>
      <c r="S21" s="222">
        <f t="shared" ref="S21:S26" si="3">+U21/P21</f>
        <v>3.06</v>
      </c>
      <c r="T21" s="222">
        <v>2.16</v>
      </c>
      <c r="U21" s="222">
        <v>3.06</v>
      </c>
      <c r="V21" s="221" t="str">
        <f t="shared" si="0"/>
        <v>50.8*43.18*8.89</v>
      </c>
      <c r="W21" s="223">
        <v>20</v>
      </c>
      <c r="X21" s="223">
        <v>17</v>
      </c>
      <c r="Y21" s="223">
        <v>3.5</v>
      </c>
      <c r="Z21" s="214">
        <f t="shared" si="1"/>
        <v>50.8</v>
      </c>
      <c r="AA21" s="214">
        <f t="shared" si="1"/>
        <v>43.18</v>
      </c>
      <c r="AB21" s="214">
        <f t="shared" si="1"/>
        <v>8.89</v>
      </c>
    </row>
    <row r="22" spans="1:28">
      <c r="A22" s="230">
        <v>3</v>
      </c>
      <c r="B22" s="230">
        <v>3</v>
      </c>
      <c r="C22" s="230" t="s">
        <v>189</v>
      </c>
      <c r="D22" s="230"/>
      <c r="E22" s="230"/>
      <c r="F22" s="230"/>
      <c r="G22" s="230">
        <v>24</v>
      </c>
      <c r="H22" s="230"/>
      <c r="I22" s="230"/>
      <c r="J22" s="230">
        <v>24</v>
      </c>
      <c r="K22" s="230"/>
      <c r="L22" s="230"/>
      <c r="M22" s="230"/>
      <c r="N22" s="230"/>
      <c r="O22" s="230"/>
      <c r="P22" s="221">
        <v>1</v>
      </c>
      <c r="Q22" s="230">
        <v>24</v>
      </c>
      <c r="R22" s="222">
        <f t="shared" si="2"/>
        <v>2.2800000000000002</v>
      </c>
      <c r="S22" s="222">
        <f t="shared" si="3"/>
        <v>3.18</v>
      </c>
      <c r="T22" s="231">
        <v>2.2800000000000002</v>
      </c>
      <c r="U22" s="231">
        <v>3.18</v>
      </c>
      <c r="V22" s="221" t="str">
        <f t="shared" si="0"/>
        <v>50.8*43.18*8.89</v>
      </c>
      <c r="W22" s="223">
        <v>20</v>
      </c>
      <c r="X22" s="223">
        <v>17</v>
      </c>
      <c r="Y22" s="223">
        <v>3.5</v>
      </c>
      <c r="Z22" s="214">
        <f t="shared" si="1"/>
        <v>50.8</v>
      </c>
      <c r="AA22" s="214">
        <f t="shared" si="1"/>
        <v>43.18</v>
      </c>
      <c r="AB22" s="214">
        <f t="shared" si="1"/>
        <v>8.89</v>
      </c>
    </row>
    <row r="23" spans="1:28">
      <c r="A23" s="230">
        <v>4</v>
      </c>
      <c r="B23" s="230">
        <v>4</v>
      </c>
      <c r="C23" s="230" t="s">
        <v>189</v>
      </c>
      <c r="D23" s="230"/>
      <c r="E23" s="230"/>
      <c r="F23" s="230"/>
      <c r="G23" s="230">
        <v>12</v>
      </c>
      <c r="H23" s="230"/>
      <c r="I23" s="230"/>
      <c r="J23" s="230"/>
      <c r="K23" s="230">
        <v>12</v>
      </c>
      <c r="L23" s="230"/>
      <c r="M23" s="230"/>
      <c r="N23" s="230"/>
      <c r="O23" s="230"/>
      <c r="P23" s="230">
        <v>1</v>
      </c>
      <c r="Q23" s="230">
        <v>12</v>
      </c>
      <c r="R23" s="222">
        <f t="shared" si="2"/>
        <v>1.4</v>
      </c>
      <c r="S23" s="222">
        <f t="shared" si="3"/>
        <v>1.8</v>
      </c>
      <c r="T23" s="231">
        <v>1.4</v>
      </c>
      <c r="U23" s="231">
        <v>1.8</v>
      </c>
      <c r="V23" s="221" t="str">
        <f t="shared" si="0"/>
        <v>44.45*25.4*7.62</v>
      </c>
      <c r="W23" s="223">
        <v>17.5</v>
      </c>
      <c r="X23" s="223">
        <v>10</v>
      </c>
      <c r="Y23" s="223">
        <v>3</v>
      </c>
      <c r="Z23" s="214">
        <f t="shared" si="1"/>
        <v>44.45</v>
      </c>
      <c r="AA23" s="214">
        <f t="shared" si="1"/>
        <v>25.4</v>
      </c>
      <c r="AB23" s="214">
        <f t="shared" si="1"/>
        <v>7.62</v>
      </c>
    </row>
    <row r="24" spans="1:28">
      <c r="A24" s="230"/>
      <c r="B24" s="230"/>
      <c r="C24" s="230" t="s">
        <v>198</v>
      </c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2"/>
      <c r="S24" s="222"/>
      <c r="T24" s="231"/>
      <c r="U24" s="231"/>
      <c r="V24" s="221"/>
      <c r="W24" s="223"/>
      <c r="X24" s="223"/>
      <c r="Y24" s="223"/>
      <c r="Z24" s="214">
        <f t="shared" si="1"/>
        <v>0</v>
      </c>
      <c r="AA24" s="214">
        <f t="shared" si="1"/>
        <v>0</v>
      </c>
      <c r="AB24" s="214">
        <f t="shared" si="1"/>
        <v>0</v>
      </c>
    </row>
    <row r="25" spans="1:28">
      <c r="A25" s="230" t="s">
        <v>201</v>
      </c>
      <c r="B25" s="230"/>
      <c r="C25" s="230" t="s">
        <v>190</v>
      </c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22"/>
      <c r="S25" s="222"/>
      <c r="T25" s="231"/>
      <c r="U25" s="231"/>
      <c r="V25" s="221" t="str">
        <f t="shared" si="0"/>
        <v>48.26*27.94*21.59</v>
      </c>
      <c r="W25" s="223">
        <v>19</v>
      </c>
      <c r="X25" s="223">
        <v>11</v>
      </c>
      <c r="Y25" s="223">
        <v>8.5</v>
      </c>
      <c r="Z25" s="214">
        <f t="shared" si="1"/>
        <v>48.26</v>
      </c>
      <c r="AA25" s="214">
        <f t="shared" si="1"/>
        <v>27.94</v>
      </c>
      <c r="AB25" s="214">
        <f t="shared" si="1"/>
        <v>21.59</v>
      </c>
    </row>
    <row r="26" spans="1:28">
      <c r="A26" s="230">
        <v>5</v>
      </c>
      <c r="B26" s="230">
        <v>5</v>
      </c>
      <c r="C26" s="230" t="s">
        <v>190</v>
      </c>
      <c r="D26" s="230" t="s">
        <v>222</v>
      </c>
      <c r="E26" s="230" t="s">
        <v>257</v>
      </c>
      <c r="F26" s="230" t="s">
        <v>258</v>
      </c>
      <c r="G26" s="230">
        <v>8</v>
      </c>
      <c r="H26" s="230"/>
      <c r="I26" s="230">
        <v>8</v>
      </c>
      <c r="J26" s="230"/>
      <c r="K26" s="230"/>
      <c r="L26" s="230"/>
      <c r="M26" s="230"/>
      <c r="N26" s="230"/>
      <c r="O26" s="230"/>
      <c r="P26" s="230">
        <v>1</v>
      </c>
      <c r="Q26" s="230">
        <v>8</v>
      </c>
      <c r="R26" s="222">
        <f t="shared" si="2"/>
        <v>0.82000000000000006</v>
      </c>
      <c r="S26" s="222">
        <f t="shared" si="3"/>
        <v>1.06</v>
      </c>
      <c r="T26" s="231">
        <v>0.82000000000000006</v>
      </c>
      <c r="U26" s="231">
        <v>1.06</v>
      </c>
      <c r="V26" s="221" t="str">
        <f t="shared" si="0"/>
        <v>25.4*22.86*8.89</v>
      </c>
      <c r="W26" s="223">
        <v>10</v>
      </c>
      <c r="X26" s="223">
        <v>9</v>
      </c>
      <c r="Y26" s="223">
        <v>3.5</v>
      </c>
      <c r="Z26" s="214">
        <f t="shared" si="1"/>
        <v>25.4</v>
      </c>
      <c r="AA26" s="214">
        <f t="shared" si="1"/>
        <v>22.86</v>
      </c>
      <c r="AB26" s="214">
        <f t="shared" si="1"/>
        <v>8.89</v>
      </c>
    </row>
    <row r="27" spans="1:28">
      <c r="A27" s="230">
        <v>6</v>
      </c>
      <c r="B27" s="230">
        <v>6</v>
      </c>
      <c r="C27" s="230"/>
      <c r="D27" s="230"/>
      <c r="E27" s="230"/>
      <c r="F27" s="230"/>
      <c r="G27" s="230">
        <v>8</v>
      </c>
      <c r="H27" s="230"/>
      <c r="I27" s="230"/>
      <c r="J27" s="230">
        <v>8</v>
      </c>
      <c r="K27" s="230"/>
      <c r="L27" s="230"/>
      <c r="M27" s="230"/>
      <c r="N27" s="230"/>
      <c r="O27" s="230"/>
      <c r="P27" s="230">
        <v>1</v>
      </c>
      <c r="Q27" s="230">
        <v>8</v>
      </c>
      <c r="R27" s="222"/>
      <c r="S27" s="222"/>
      <c r="T27" s="231"/>
      <c r="U27" s="231"/>
      <c r="V27" s="221" t="str">
        <f t="shared" si="0"/>
        <v>25.4*22.86*8.89</v>
      </c>
      <c r="W27" s="223">
        <v>10</v>
      </c>
      <c r="X27" s="223">
        <v>9</v>
      </c>
      <c r="Y27" s="223">
        <v>3.5</v>
      </c>
      <c r="Z27" s="214">
        <f t="shared" si="1"/>
        <v>25.4</v>
      </c>
      <c r="AA27" s="214">
        <f t="shared" si="1"/>
        <v>22.86</v>
      </c>
      <c r="AB27" s="214">
        <f t="shared" si="1"/>
        <v>8.89</v>
      </c>
    </row>
    <row r="28" spans="1:28">
      <c r="A28" s="230">
        <v>7</v>
      </c>
      <c r="B28" s="230">
        <v>7</v>
      </c>
      <c r="C28" s="230" t="s">
        <v>189</v>
      </c>
      <c r="D28" s="230"/>
      <c r="E28" s="230"/>
      <c r="F28" s="230"/>
      <c r="G28" s="230">
        <v>4</v>
      </c>
      <c r="H28" s="230">
        <v>4</v>
      </c>
      <c r="I28" s="230"/>
      <c r="J28" s="230"/>
      <c r="K28" s="230"/>
      <c r="L28" s="230"/>
      <c r="M28" s="230"/>
      <c r="N28" s="230"/>
      <c r="O28" s="230"/>
      <c r="P28" s="230">
        <v>1</v>
      </c>
      <c r="Q28" s="230">
        <v>4</v>
      </c>
      <c r="R28" s="222"/>
      <c r="S28" s="222"/>
      <c r="T28" s="231"/>
      <c r="U28" s="231"/>
      <c r="V28" s="221" t="str">
        <f t="shared" si="0"/>
        <v>25.4*22.86*8.89</v>
      </c>
      <c r="W28" s="223">
        <v>10</v>
      </c>
      <c r="X28" s="223">
        <v>9</v>
      </c>
      <c r="Y28" s="223">
        <v>3.5</v>
      </c>
      <c r="Z28" s="214">
        <f t="shared" si="1"/>
        <v>25.4</v>
      </c>
      <c r="AA28" s="214">
        <f t="shared" si="1"/>
        <v>22.86</v>
      </c>
      <c r="AB28" s="214">
        <f t="shared" si="1"/>
        <v>8.89</v>
      </c>
    </row>
    <row r="29" spans="1:28">
      <c r="A29" s="230">
        <v>8</v>
      </c>
      <c r="B29" s="230">
        <v>8</v>
      </c>
      <c r="C29" s="230" t="s">
        <v>189</v>
      </c>
      <c r="D29" s="230"/>
      <c r="E29" s="230"/>
      <c r="F29" s="230"/>
      <c r="G29" s="230">
        <v>4</v>
      </c>
      <c r="H29" s="230"/>
      <c r="I29" s="230"/>
      <c r="J29" s="230"/>
      <c r="K29" s="230">
        <v>4</v>
      </c>
      <c r="L29" s="230"/>
      <c r="M29" s="230"/>
      <c r="N29" s="230"/>
      <c r="O29" s="230"/>
      <c r="P29" s="230">
        <v>1</v>
      </c>
      <c r="Q29" s="230">
        <v>4</v>
      </c>
      <c r="R29" s="222"/>
      <c r="S29" s="222"/>
      <c r="T29" s="231"/>
      <c r="U29" s="231"/>
      <c r="V29" s="221" t="str">
        <f t="shared" si="0"/>
        <v>25.4*22.86*8.89</v>
      </c>
      <c r="W29" s="223">
        <v>10</v>
      </c>
      <c r="X29" s="223">
        <v>9</v>
      </c>
      <c r="Y29" s="223">
        <v>3.5</v>
      </c>
      <c r="Z29" s="214">
        <f t="shared" si="1"/>
        <v>25.4</v>
      </c>
      <c r="AA29" s="214">
        <f t="shared" si="1"/>
        <v>22.86</v>
      </c>
      <c r="AB29" s="214">
        <f t="shared" si="1"/>
        <v>8.89</v>
      </c>
    </row>
    <row r="30" spans="1:28">
      <c r="A30" s="230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22"/>
      <c r="S30" s="222"/>
      <c r="T30" s="231"/>
      <c r="U30" s="231"/>
      <c r="V30" s="230"/>
    </row>
    <row r="31" spans="1:28" s="216" customFormat="1" ht="14.25">
      <c r="A31" s="232"/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>
        <f>SUM(N20:N30)</f>
        <v>0</v>
      </c>
      <c r="O31" s="232">
        <f>SUM(O20:O30)</f>
        <v>0</v>
      </c>
      <c r="P31" s="232">
        <f>SUM(P20:P30)</f>
        <v>8</v>
      </c>
      <c r="Q31" s="232">
        <f>SUM(Q20:Q30)</f>
        <v>96</v>
      </c>
      <c r="R31" s="232"/>
      <c r="S31" s="305"/>
      <c r="T31" s="232">
        <f>SUM(T20:T30)</f>
        <v>7.7000000000000011</v>
      </c>
      <c r="U31" s="305">
        <f>SUM(U20:U30)</f>
        <v>10.540000000000001</v>
      </c>
      <c r="V31" s="232"/>
    </row>
    <row r="32" spans="1:28" s="216" customFormat="1" ht="14.25">
      <c r="A32" s="233"/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</row>
    <row r="33" spans="1:24">
      <c r="A33" s="223"/>
      <c r="B33" s="223"/>
      <c r="C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4"/>
      <c r="S33" s="224"/>
      <c r="T33" s="224"/>
      <c r="U33" s="224"/>
      <c r="V33" s="215"/>
    </row>
    <row r="34" spans="1:24">
      <c r="C34" s="234" t="s">
        <v>191</v>
      </c>
      <c r="D34" s="234" t="s">
        <v>181</v>
      </c>
      <c r="E34" s="234" t="s">
        <v>192</v>
      </c>
      <c r="F34" s="234" t="s">
        <v>193</v>
      </c>
      <c r="G34" s="234" t="s">
        <v>59</v>
      </c>
      <c r="H34" s="234" t="s">
        <v>27</v>
      </c>
      <c r="I34" s="234" t="s">
        <v>28</v>
      </c>
      <c r="J34" s="234" t="s">
        <v>29</v>
      </c>
      <c r="K34" s="234" t="s">
        <v>30</v>
      </c>
      <c r="L34" s="234" t="s">
        <v>145</v>
      </c>
      <c r="M34" s="234"/>
      <c r="N34" s="234"/>
      <c r="O34" s="234"/>
      <c r="P34" s="219" t="s">
        <v>31</v>
      </c>
      <c r="Q34" s="219" t="s">
        <v>32</v>
      </c>
    </row>
    <row r="35" spans="1:24">
      <c r="C35" s="235" t="s">
        <v>218</v>
      </c>
      <c r="D35" s="235" t="s">
        <v>222</v>
      </c>
      <c r="E35" s="235" t="s">
        <v>220</v>
      </c>
      <c r="F35" s="235" t="s">
        <v>232</v>
      </c>
      <c r="G35" s="230">
        <v>12</v>
      </c>
      <c r="H35" s="230">
        <v>24</v>
      </c>
      <c r="I35" s="230">
        <v>24</v>
      </c>
      <c r="J35" s="230">
        <v>12</v>
      </c>
      <c r="K35" s="230"/>
      <c r="L35" s="230"/>
      <c r="M35" s="234"/>
      <c r="N35" s="234"/>
      <c r="O35" s="234"/>
      <c r="P35" s="235">
        <v>4</v>
      </c>
      <c r="Q35" s="235">
        <v>72</v>
      </c>
      <c r="W35" s="214">
        <f>+SUM(G35:K35)</f>
        <v>72</v>
      </c>
      <c r="X35" s="214">
        <f>+Q35-W35</f>
        <v>0</v>
      </c>
    </row>
    <row r="36" spans="1:24">
      <c r="C36" s="235" t="s">
        <v>218</v>
      </c>
      <c r="D36" s="235" t="s">
        <v>222</v>
      </c>
      <c r="E36" s="235" t="s">
        <v>223</v>
      </c>
      <c r="F36" s="235" t="s">
        <v>258</v>
      </c>
      <c r="G36" s="230">
        <v>4</v>
      </c>
      <c r="H36" s="230">
        <v>8</v>
      </c>
      <c r="I36" s="230">
        <v>8</v>
      </c>
      <c r="J36" s="230">
        <v>4</v>
      </c>
      <c r="K36" s="230"/>
      <c r="L36" s="230"/>
      <c r="M36" s="234"/>
      <c r="N36" s="234"/>
      <c r="O36" s="234"/>
      <c r="P36" s="235">
        <v>4</v>
      </c>
      <c r="Q36" s="235">
        <v>24</v>
      </c>
    </row>
    <row r="37" spans="1:24">
      <c r="C37" s="235"/>
      <c r="D37" s="235"/>
      <c r="E37" s="235"/>
      <c r="F37" s="235"/>
      <c r="G37" s="230"/>
      <c r="H37" s="230"/>
      <c r="I37" s="230"/>
      <c r="J37" s="230"/>
      <c r="K37" s="230"/>
      <c r="L37" s="234"/>
      <c r="M37" s="234"/>
      <c r="N37" s="234"/>
      <c r="O37" s="234"/>
      <c r="P37" s="235"/>
      <c r="Q37" s="235"/>
    </row>
    <row r="38" spans="1:24"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</row>
    <row r="39" spans="1:24">
      <c r="C39" s="215"/>
      <c r="D39" s="215"/>
      <c r="E39" s="215"/>
      <c r="F39" s="215"/>
      <c r="G39" s="215"/>
      <c r="H39" s="215"/>
      <c r="I39" s="215"/>
      <c r="J39" s="218" t="s">
        <v>33</v>
      </c>
      <c r="K39" s="215"/>
      <c r="L39" s="218"/>
      <c r="M39" s="218"/>
      <c r="N39" s="218"/>
      <c r="O39" s="218"/>
      <c r="P39" s="218">
        <f>SUM(P35:P37)</f>
        <v>8</v>
      </c>
      <c r="Q39" s="218">
        <f>SUM(Q35:Q37)</f>
        <v>96</v>
      </c>
    </row>
    <row r="49" s="214" customFormat="1"/>
    <row r="50" s="214" customFormat="1"/>
    <row r="51" s="214" customFormat="1"/>
    <row r="52" s="214" customFormat="1"/>
    <row r="53" s="214" customFormat="1"/>
    <row r="54" s="214" customFormat="1"/>
    <row r="55" s="214" customFormat="1"/>
    <row r="56" s="214" customFormat="1"/>
    <row r="57" s="214" customFormat="1"/>
    <row r="58" s="214" customFormat="1"/>
    <row r="59" s="214" customFormat="1"/>
    <row r="60" s="214" customFormat="1"/>
    <row r="61" s="214" customFormat="1"/>
    <row r="62" s="214" customFormat="1"/>
    <row r="63" s="214" customFormat="1"/>
    <row r="64" s="214" customFormat="1"/>
    <row r="65" s="214" customFormat="1"/>
    <row r="66" s="214" customFormat="1"/>
    <row r="67" s="214" customFormat="1"/>
  </sheetData>
  <autoFilter ref="A18:IT41" xr:uid="{00000000-0009-0000-0000-000004000000}">
    <filterColumn colId="0" showButton="0"/>
  </autoFilter>
  <mergeCells count="6">
    <mergeCell ref="A4:S4"/>
    <mergeCell ref="BS6:CG6"/>
    <mergeCell ref="A12:B12"/>
    <mergeCell ref="A14:B14"/>
    <mergeCell ref="A16:B16"/>
    <mergeCell ref="A18:B18"/>
  </mergeCells>
  <pageMargins left="0.24791666700000001" right="0.24791666700000001" top="0.48402777800000002" bottom="0.48402777800000002" header="0.51180555555555496" footer="0.51180555555555496"/>
  <pageSetup scale="54" fitToHeight="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FFDB-F69C-47B3-9CAA-9103AC3FBE15}">
  <dimension ref="A1"/>
  <sheetViews>
    <sheetView workbookViewId="0">
      <selection activeCell="F19" sqref="F19"/>
    </sheetView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5BF-0483-4508-872A-B3200D191BCD}">
  <dimension ref="A1:I19"/>
  <sheetViews>
    <sheetView topLeftCell="A7" workbookViewId="0">
      <selection activeCell="L13" sqref="L13"/>
    </sheetView>
  </sheetViews>
  <sheetFormatPr defaultRowHeight="14.25"/>
  <sheetData>
    <row r="1" spans="1:9">
      <c r="A1" t="s">
        <v>87</v>
      </c>
      <c r="B1">
        <v>44.45</v>
      </c>
      <c r="C1">
        <v>39.369999999999997</v>
      </c>
      <c r="D1">
        <v>15.24</v>
      </c>
      <c r="F1" t="str">
        <f>+B1&amp;"x"&amp;C1&amp;"x"&amp;D1</f>
        <v>44.45x39.37x15.24</v>
      </c>
      <c r="I1" t="s">
        <v>68</v>
      </c>
    </row>
    <row r="2" spans="1:9">
      <c r="A2" t="s">
        <v>88</v>
      </c>
      <c r="B2">
        <v>44.45</v>
      </c>
      <c r="C2">
        <v>39.369999999999997</v>
      </c>
      <c r="D2">
        <v>16.510000000000002</v>
      </c>
      <c r="F2" t="str">
        <f t="shared" ref="F2:F19" si="0">+B2&amp;"x"&amp;C2&amp;"x"&amp;D2</f>
        <v>44.45x39.37x16.51</v>
      </c>
      <c r="I2" t="s">
        <v>69</v>
      </c>
    </row>
    <row r="3" spans="1:9">
      <c r="A3" t="s">
        <v>89</v>
      </c>
      <c r="B3">
        <v>44.45</v>
      </c>
      <c r="C3">
        <v>39.369999999999997</v>
      </c>
      <c r="D3">
        <v>21.59</v>
      </c>
      <c r="F3" t="str">
        <f t="shared" si="0"/>
        <v>44.45x39.37x21.59</v>
      </c>
      <c r="I3" t="s">
        <v>70</v>
      </c>
    </row>
    <row r="4" spans="1:9">
      <c r="A4" t="s">
        <v>90</v>
      </c>
      <c r="B4">
        <v>49.53</v>
      </c>
      <c r="C4">
        <v>43.18</v>
      </c>
      <c r="D4">
        <v>22.86</v>
      </c>
      <c r="F4" t="str">
        <f t="shared" si="0"/>
        <v>49.53x43.18x22.86</v>
      </c>
      <c r="I4" t="s">
        <v>71</v>
      </c>
    </row>
    <row r="5" spans="1:9">
      <c r="A5" t="s">
        <v>91</v>
      </c>
      <c r="B5">
        <v>49.53</v>
      </c>
      <c r="C5">
        <v>48.26</v>
      </c>
      <c r="D5">
        <v>25.4</v>
      </c>
      <c r="F5" t="str">
        <f t="shared" si="0"/>
        <v>49.53x48.26x25.4</v>
      </c>
      <c r="I5" t="s">
        <v>72</v>
      </c>
    </row>
    <row r="6" spans="1:9">
      <c r="A6" t="s">
        <v>92</v>
      </c>
      <c r="B6">
        <v>49.53</v>
      </c>
      <c r="C6">
        <v>48.26</v>
      </c>
      <c r="D6">
        <v>21.59</v>
      </c>
      <c r="F6" t="str">
        <f t="shared" si="0"/>
        <v>49.53x48.26x21.59</v>
      </c>
      <c r="I6" t="s">
        <v>73</v>
      </c>
    </row>
    <row r="7" spans="1:9">
      <c r="A7" t="s">
        <v>93</v>
      </c>
      <c r="B7">
        <v>53.34</v>
      </c>
      <c r="C7">
        <v>48.26</v>
      </c>
      <c r="D7">
        <v>21.59</v>
      </c>
      <c r="F7" t="str">
        <f t="shared" si="0"/>
        <v>53.34x48.26x21.59</v>
      </c>
      <c r="I7" t="s">
        <v>74</v>
      </c>
    </row>
    <row r="8" spans="1:9">
      <c r="A8" t="s">
        <v>94</v>
      </c>
      <c r="B8">
        <v>54.61</v>
      </c>
      <c r="C8">
        <v>45.72</v>
      </c>
      <c r="D8">
        <v>15.24</v>
      </c>
      <c r="F8" t="str">
        <f t="shared" si="0"/>
        <v>54.61x45.72x15.24</v>
      </c>
      <c r="I8" t="s">
        <v>75</v>
      </c>
    </row>
    <row r="9" spans="1:9">
      <c r="A9" t="s">
        <v>95</v>
      </c>
      <c r="B9">
        <v>54.61</v>
      </c>
      <c r="C9">
        <v>48.26</v>
      </c>
      <c r="D9">
        <v>25.4</v>
      </c>
      <c r="F9" t="str">
        <f t="shared" si="0"/>
        <v>54.61x48.26x25.4</v>
      </c>
      <c r="I9" t="s">
        <v>76</v>
      </c>
    </row>
    <row r="10" spans="1:9">
      <c r="A10" t="s">
        <v>96</v>
      </c>
      <c r="B10">
        <v>59.69</v>
      </c>
      <c r="C10">
        <v>39.369999999999997</v>
      </c>
      <c r="D10">
        <v>15.24</v>
      </c>
      <c r="F10" t="str">
        <f t="shared" si="0"/>
        <v>59.69x39.37x15.24</v>
      </c>
      <c r="I10" t="s">
        <v>77</v>
      </c>
    </row>
    <row r="11" spans="1:9">
      <c r="A11" t="s">
        <v>97</v>
      </c>
      <c r="B11">
        <v>59.69</v>
      </c>
      <c r="C11">
        <v>39.369999999999997</v>
      </c>
      <c r="D11">
        <v>16.510000000000002</v>
      </c>
      <c r="F11" t="str">
        <f t="shared" si="0"/>
        <v>59.69x39.37x16.51</v>
      </c>
      <c r="I11" t="s">
        <v>78</v>
      </c>
    </row>
    <row r="12" spans="1:9">
      <c r="A12" t="s">
        <v>98</v>
      </c>
      <c r="B12">
        <v>59.69</v>
      </c>
      <c r="C12">
        <v>43.18</v>
      </c>
      <c r="D12">
        <v>19.05</v>
      </c>
      <c r="F12" t="str">
        <f t="shared" si="0"/>
        <v>59.69x43.18x19.05</v>
      </c>
      <c r="I12" t="s">
        <v>79</v>
      </c>
    </row>
    <row r="13" spans="1:9">
      <c r="A13" t="s">
        <v>99</v>
      </c>
      <c r="B13">
        <v>59.69</v>
      </c>
      <c r="C13">
        <v>45.72</v>
      </c>
      <c r="D13">
        <v>22.86</v>
      </c>
      <c r="F13" t="str">
        <f t="shared" si="0"/>
        <v>59.69x45.72x22.86</v>
      </c>
      <c r="I13" t="s">
        <v>80</v>
      </c>
    </row>
    <row r="14" spans="1:9">
      <c r="A14" t="s">
        <v>100</v>
      </c>
      <c r="B14">
        <v>59.69</v>
      </c>
      <c r="C14">
        <v>48.26</v>
      </c>
      <c r="D14">
        <v>22.86</v>
      </c>
      <c r="F14" t="str">
        <f t="shared" si="0"/>
        <v>59.69x48.26x22.86</v>
      </c>
      <c r="I14" t="s">
        <v>81</v>
      </c>
    </row>
    <row r="15" spans="1:9">
      <c r="A15" t="s">
        <v>101</v>
      </c>
      <c r="B15">
        <v>68.58</v>
      </c>
      <c r="C15">
        <v>48.26</v>
      </c>
      <c r="D15">
        <v>26.67</v>
      </c>
      <c r="F15" t="str">
        <f t="shared" si="0"/>
        <v>68.58x48.26x26.67</v>
      </c>
      <c r="I15" t="s">
        <v>82</v>
      </c>
    </row>
    <row r="16" spans="1:9">
      <c r="A16" t="s">
        <v>102</v>
      </c>
      <c r="B16">
        <v>68.58</v>
      </c>
      <c r="C16">
        <v>48.26</v>
      </c>
      <c r="D16">
        <v>21.59</v>
      </c>
      <c r="F16" t="str">
        <f t="shared" si="0"/>
        <v>68.58x48.26x21.59</v>
      </c>
      <c r="I16" t="s">
        <v>83</v>
      </c>
    </row>
    <row r="17" spans="1:9">
      <c r="A17" t="s">
        <v>103</v>
      </c>
      <c r="B17">
        <v>71.12</v>
      </c>
      <c r="C17">
        <v>48.26</v>
      </c>
      <c r="D17">
        <v>27.94</v>
      </c>
      <c r="F17" t="str">
        <f t="shared" si="0"/>
        <v>71.12x48.26x27.94</v>
      </c>
      <c r="I17" t="s">
        <v>84</v>
      </c>
    </row>
    <row r="18" spans="1:9">
      <c r="A18" t="s">
        <v>104</v>
      </c>
      <c r="B18">
        <v>71.12</v>
      </c>
      <c r="C18">
        <v>48.26</v>
      </c>
      <c r="D18">
        <v>22.86</v>
      </c>
      <c r="F18" t="str">
        <f t="shared" si="0"/>
        <v>71.12x48.26x22.86</v>
      </c>
      <c r="I18" t="s">
        <v>85</v>
      </c>
    </row>
    <row r="19" spans="1:9">
      <c r="A19" t="s">
        <v>105</v>
      </c>
      <c r="B19">
        <v>71.12</v>
      </c>
      <c r="C19">
        <v>48.26</v>
      </c>
      <c r="D19">
        <v>24.13</v>
      </c>
      <c r="F19" t="str">
        <f t="shared" si="0"/>
        <v>71.12x48.26x24.13</v>
      </c>
      <c r="I1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30</vt:i4>
      </vt:variant>
    </vt:vector>
  </HeadingPairs>
  <TitlesOfParts>
    <vt:vector size="62" baseType="lpstr">
      <vt:lpstr>packinglist</vt:lpstr>
      <vt:lpstr>INVOICE 94</vt:lpstr>
      <vt:lpstr>AJ916</vt:lpstr>
      <vt:lpstr>PLS AJ916</vt:lpstr>
      <vt:lpstr>SOLID PL DV10</vt:lpstr>
      <vt:lpstr>IRREGULAR SS PLDV10</vt:lpstr>
      <vt:lpstr>SOLID PL DV6</vt:lpstr>
      <vt:lpstr>IRREGULAR SS PL DV6</vt:lpstr>
      <vt:lpstr>SOLID PL DV7</vt:lpstr>
      <vt:lpstr>IRREGULAR SS PLDV7</vt:lpstr>
      <vt:lpstr>SOLID PL EQ349</vt:lpstr>
      <vt:lpstr>IRREGULAR SS PL EQ349</vt:lpstr>
      <vt:lpstr>SOLID PL EV154</vt:lpstr>
      <vt:lpstr>IRREGULAR SS PL EV154</vt:lpstr>
      <vt:lpstr>SOLID PL EV161</vt:lpstr>
      <vt:lpstr>IRREGULAR SS PL EV161</vt:lpstr>
      <vt:lpstr>FK245</vt:lpstr>
      <vt:lpstr>PLS FK245</vt:lpstr>
      <vt:lpstr>SOLID PL GU113</vt:lpstr>
      <vt:lpstr>IRREGULAR SS PL GU113</vt:lpstr>
      <vt:lpstr>SOLID PL GU117</vt:lpstr>
      <vt:lpstr>IRREGULAR SS PL GU117</vt:lpstr>
      <vt:lpstr>SZ514</vt:lpstr>
      <vt:lpstr>PLS SZ514</vt:lpstr>
      <vt:lpstr>SOLID PLWH88</vt:lpstr>
      <vt:lpstr>IRREGULAR SS PL WH88</vt:lpstr>
      <vt:lpstr>IRREGULAR SS PL WH96</vt:lpstr>
      <vt:lpstr>SOLID PL WH96</vt:lpstr>
      <vt:lpstr>IRREGULAR SS PL XL102</vt:lpstr>
      <vt:lpstr>SOLID PL XL102</vt:lpstr>
      <vt:lpstr>Sheet6</vt:lpstr>
      <vt:lpstr>Sheet1</vt:lpstr>
      <vt:lpstr>'AJ916'!Print_Area</vt:lpstr>
      <vt:lpstr>'FK245'!Print_Area</vt:lpstr>
      <vt:lpstr>'INVOICE 94'!Print_Area</vt:lpstr>
      <vt:lpstr>'IRREGULAR SS PL DV6'!Print_Area</vt:lpstr>
      <vt:lpstr>'IRREGULAR SS PL EQ349'!Print_Area</vt:lpstr>
      <vt:lpstr>'IRREGULAR SS PL EV154'!Print_Area</vt:lpstr>
      <vt:lpstr>'IRREGULAR SS PL EV161'!Print_Area</vt:lpstr>
      <vt:lpstr>'IRREGULAR SS PL GU113'!Print_Area</vt:lpstr>
      <vt:lpstr>'IRREGULAR SS PL GU117'!Print_Area</vt:lpstr>
      <vt:lpstr>'IRREGULAR SS PL WH88'!Print_Area</vt:lpstr>
      <vt:lpstr>'IRREGULAR SS PL WH96'!Print_Area</vt:lpstr>
      <vt:lpstr>'IRREGULAR SS PL XL102'!Print_Area</vt:lpstr>
      <vt:lpstr>'IRREGULAR SS PLDV10'!Print_Area</vt:lpstr>
      <vt:lpstr>'IRREGULAR SS PLDV7'!Print_Area</vt:lpstr>
      <vt:lpstr>packinglist!Print_Area</vt:lpstr>
      <vt:lpstr>'PLS AJ916'!Print_Area</vt:lpstr>
      <vt:lpstr>'PLS FK245'!Print_Area</vt:lpstr>
      <vt:lpstr>'PLS SZ514'!Print_Area</vt:lpstr>
      <vt:lpstr>'SOLID PL DV10'!Print_Area</vt:lpstr>
      <vt:lpstr>'SOLID PL DV6'!Print_Area</vt:lpstr>
      <vt:lpstr>'SOLID PL DV7'!Print_Area</vt:lpstr>
      <vt:lpstr>'SOLID PL EQ349'!Print_Area</vt:lpstr>
      <vt:lpstr>'SOLID PL EV154'!Print_Area</vt:lpstr>
      <vt:lpstr>'SOLID PL EV161'!Print_Area</vt:lpstr>
      <vt:lpstr>'SOLID PL GU113'!Print_Area</vt:lpstr>
      <vt:lpstr>'SOLID PL GU117'!Print_Area</vt:lpstr>
      <vt:lpstr>'SOLID PL WH96'!Print_Area</vt:lpstr>
      <vt:lpstr>'SOLID PL XL102'!Print_Area</vt:lpstr>
      <vt:lpstr>'SOLID PLWH88'!Print_Area</vt:lpstr>
      <vt:lpstr>'SZ514'!Print_Area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THE QUANG</dc:creator>
  <cp:lastModifiedBy>Hang2, Nguyen Thi</cp:lastModifiedBy>
  <cp:lastPrinted>2025-12-13T09:05:25Z</cp:lastPrinted>
  <dcterms:created xsi:type="dcterms:W3CDTF">2021-09-16T01:45:28Z</dcterms:created>
  <dcterms:modified xsi:type="dcterms:W3CDTF">2026-04-10T04:57:25Z</dcterms:modified>
</cp:coreProperties>
</file>